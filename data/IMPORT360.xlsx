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smarco-my.sharepoint.com/personal/sflores_marco_com_pe/Documents/Documentos/SHEYLA_PRACTICANTE PLAN_INV/data/"/>
    </mc:Choice>
  </mc:AlternateContent>
  <xr:revisionPtr revIDLastSave="121" documentId="8_{2593B4A2-4A13-4B05-BFCB-A835D9220ACF}" xr6:coauthVersionLast="47" xr6:coauthVersionMax="47" xr10:uidLastSave="{2A10146D-0416-4514-B2C0-9CB5FBA85517}"/>
  <bookViews>
    <workbookView xWindow="20370" yWindow="-120" windowWidth="29040" windowHeight="15720" tabRatio="212" xr2:uid="{00000000-000D-0000-FFFF-FFFF00000000}"/>
  </bookViews>
  <sheets>
    <sheet name="Datas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" l="1"/>
  <c r="AD34" i="1"/>
  <c r="AD33" i="1"/>
  <c r="AD32" i="1"/>
  <c r="AD36" i="1"/>
  <c r="AD39" i="1"/>
  <c r="AD254" i="1"/>
  <c r="AD312" i="1"/>
  <c r="AD302" i="1"/>
  <c r="AD258" i="1"/>
  <c r="AD248" i="1"/>
  <c r="AD244" i="1"/>
  <c r="AD243" i="1"/>
  <c r="AD191" i="1"/>
  <c r="AD190" i="1"/>
  <c r="AD189" i="1"/>
  <c r="AD188" i="1"/>
  <c r="AD187" i="1"/>
  <c r="AD186" i="1"/>
  <c r="AD185" i="1"/>
  <c r="AD26" i="1"/>
  <c r="AD21" i="1"/>
  <c r="AD16" i="1"/>
  <c r="AD15" i="1"/>
  <c r="AD14" i="1"/>
  <c r="AD10" i="1"/>
  <c r="AD311" i="1"/>
  <c r="AD308" i="1"/>
  <c r="AD297" i="1"/>
  <c r="AD294" i="1"/>
  <c r="AD290" i="1"/>
  <c r="AD289" i="1"/>
  <c r="AD288" i="1"/>
  <c r="AD286" i="1"/>
  <c r="AD279" i="1"/>
  <c r="AD278" i="1"/>
  <c r="AD276" i="1"/>
  <c r="AD275" i="1"/>
  <c r="AD274" i="1"/>
  <c r="AD273" i="1"/>
  <c r="AD272" i="1"/>
  <c r="AD271" i="1"/>
  <c r="AD270" i="1"/>
  <c r="AD269" i="1"/>
  <c r="AD259" i="1"/>
  <c r="AD218" i="1"/>
  <c r="AD217" i="1"/>
  <c r="AD216" i="1"/>
  <c r="AD65" i="1"/>
  <c r="AD52" i="1"/>
  <c r="AD51" i="1"/>
  <c r="AD50" i="1"/>
  <c r="AD49" i="1"/>
  <c r="AD48" i="1"/>
  <c r="AD47" i="1"/>
</calcChain>
</file>

<file path=xl/sharedStrings.xml><?xml version="1.0" encoding="utf-8"?>
<sst xmlns="http://schemas.openxmlformats.org/spreadsheetml/2006/main" count="11857" uniqueCount="1421">
  <si>
    <t>DIA</t>
  </si>
  <si>
    <t>MES</t>
  </si>
  <si>
    <t>AÑO</t>
  </si>
  <si>
    <t>DUA</t>
  </si>
  <si>
    <t>SERIE</t>
  </si>
  <si>
    <t>ADUANA</t>
  </si>
  <si>
    <t>TIPO DOCUMENTO</t>
  </si>
  <si>
    <t>RUC IMPORTADOR</t>
  </si>
  <si>
    <t>IMPORTADOR</t>
  </si>
  <si>
    <t>DIRECCION</t>
  </si>
  <si>
    <t>DEPARTAMENTO DE IMPORTADOR</t>
  </si>
  <si>
    <t>ESTADO</t>
  </si>
  <si>
    <t>DISTRITO</t>
  </si>
  <si>
    <t>TELEFONO</t>
  </si>
  <si>
    <t>FAX</t>
  </si>
  <si>
    <t>VIA DE TRANSPORTE</t>
  </si>
  <si>
    <t>BANCO</t>
  </si>
  <si>
    <t>PAIS DE ORIGEN</t>
  </si>
  <si>
    <t>PAIS DE ADQUISICION</t>
  </si>
  <si>
    <t>PUERTO DE EMBARQUE</t>
  </si>
  <si>
    <t>PARTIDA ARANCELARIA</t>
  </si>
  <si>
    <t>DESCRIPCION ARANCELARIA</t>
  </si>
  <si>
    <t>MERCANCÍA</t>
  </si>
  <si>
    <t>DESCRIPCIÓN DE MERCANCÍA 1</t>
  </si>
  <si>
    <t>DESCRIPCIÓN DE MERCANCÍA 2</t>
  </si>
  <si>
    <t>DESCRIPCIÓN DE MERCANCÍA 3</t>
  </si>
  <si>
    <t>DESCRIPCIÓN DE MERCANCÍA 4</t>
  </si>
  <si>
    <t>PRODUCTO</t>
  </si>
  <si>
    <t>MARCA</t>
  </si>
  <si>
    <t>MODELO</t>
  </si>
  <si>
    <t>CARACTERISTICAS</t>
  </si>
  <si>
    <t>AÑO FABRICACIÓN</t>
  </si>
  <si>
    <t>US$ FOB</t>
  </si>
  <si>
    <t>US$ FLETE</t>
  </si>
  <si>
    <t>US$ SEGURO</t>
  </si>
  <si>
    <t>US$ CIF</t>
  </si>
  <si>
    <t>ADVALOREM</t>
  </si>
  <si>
    <t>IGV</t>
  </si>
  <si>
    <t>IPM</t>
  </si>
  <si>
    <t>PESO NETO</t>
  </si>
  <si>
    <t>PESO BRUTO</t>
  </si>
  <si>
    <t>CANTIDAD</t>
  </si>
  <si>
    <t>UNIDAD DE MEDIDA</t>
  </si>
  <si>
    <t>US$ CIF UNIT</t>
  </si>
  <si>
    <t>CANTIDAD COMERCIAL</t>
  </si>
  <si>
    <t>UNIDAD COMERCIAL</t>
  </si>
  <si>
    <t>TIPO DE BULTO</t>
  </si>
  <si>
    <t>CANTIDAD BULTO</t>
  </si>
  <si>
    <t>ESTADO DE MERCANCIA</t>
  </si>
  <si>
    <t>PROBABLE EMBARCADOR</t>
  </si>
  <si>
    <t>AGENTE DE ADUANA</t>
  </si>
  <si>
    <t>EMPRESA DE TRANSPORTE</t>
  </si>
  <si>
    <t>ALMACEN</t>
  </si>
  <si>
    <t>INCOTERM</t>
  </si>
  <si>
    <t>MANIFIESTO DE CARGA</t>
  </si>
  <si>
    <t>FECHA DE LLEGADA</t>
  </si>
  <si>
    <t>US$ FOB UNIT</t>
  </si>
  <si>
    <t>BILL OF LADING MASTER</t>
  </si>
  <si>
    <t>BILL OF LADING</t>
  </si>
  <si>
    <t>FECHA DE EMBARQUE</t>
  </si>
  <si>
    <t>BUQUE</t>
  </si>
  <si>
    <t>AGENTE DE CARGA EN DESTINO</t>
  </si>
  <si>
    <t>FORMA DE PAGO</t>
  </si>
  <si>
    <t>CANAL</t>
  </si>
  <si>
    <t>008327</t>
  </si>
  <si>
    <t>AEREA DEL CALLAO</t>
  </si>
  <si>
    <t>RUC - Reg. Unico Contribuyente</t>
  </si>
  <si>
    <t>IMPORT 360 S.A.C.</t>
  </si>
  <si>
    <t>CAL. HARRINGTON MZA. P1 LOTE. 7 URB. CALERA LA MERCED</t>
  </si>
  <si>
    <t>LIMA</t>
  </si>
  <si>
    <t>SURQUILLO</t>
  </si>
  <si>
    <t>'-</t>
  </si>
  <si>
    <t>AEREO</t>
  </si>
  <si>
    <t>BANCO DE CREDITO DEL PERU</t>
  </si>
  <si>
    <t>ESTADOS UNIDOS</t>
  </si>
  <si>
    <t>METRO WAYNE COUNTRY, ESTADOS UNIDOS; USDTW</t>
  </si>
  <si>
    <t>Juntas (Empaquetaduras), De Caucho Vulcanizado Sin Endurecer</t>
  </si>
  <si>
    <t>KIT DE SELLOS, S/M, 923548</t>
  </si>
  <si>
    <t>Sellado Interior de Equipos</t>
  </si>
  <si>
    <t>KIT DE SELLOS</t>
  </si>
  <si>
    <t>COMERCIALIZADO EN KIT</t>
  </si>
  <si>
    <t>S/M</t>
  </si>
  <si>
    <t>UNID</t>
  </si>
  <si>
    <t>KIT</t>
  </si>
  <si>
    <t>BULTOS</t>
  </si>
  <si>
    <t>NUEVO</t>
  </si>
  <si>
    <t>ATTICA HYDRAULIC EXCHANGE INC</t>
  </si>
  <si>
    <t>DHL EXPRESS ADUANAS PERU S.A.C.</t>
  </si>
  <si>
    <t>DHL AERO EXPRESO S.A. SUCURSAL DEL PERU</t>
  </si>
  <si>
    <t>DHL EXPRESS PERÚ S.A.C.</t>
  </si>
  <si>
    <t>EXW</t>
  </si>
  <si>
    <t>CONTADO</t>
  </si>
  <si>
    <t>KIT DE SELLOS, S/M, S14-29879-0</t>
  </si>
  <si>
    <t>S14-29879-0</t>
  </si>
  <si>
    <t>KIT DE SELLOS, S/M, S24-10352-0</t>
  </si>
  <si>
    <t>S24-10352-0</t>
  </si>
  <si>
    <t>KIT DE SELLOS, S/M, 922733</t>
  </si>
  <si>
    <t>020765</t>
  </si>
  <si>
    <t>ITALIA</t>
  </si>
  <si>
    <t>MILANO, ITALIA; ITMIL</t>
  </si>
  <si>
    <t>Demas Bombas Con Dispositivo Medidor O Proyectadas Para Llevarlo</t>
  </si>
  <si>
    <t>VALVULA OLEOHIDRAULICA, FLUIDEA, JH2/1-01</t>
  </si>
  <si>
    <t>'JH20032</t>
  </si>
  <si>
    <t>VALVULA OLEOHIDRAULICA PROPORCIONALES DE BAJO CAUDAL</t>
  </si>
  <si>
    <t>VALVULA OLEOHIDRAULICA</t>
  </si>
  <si>
    <t>FLUIDEA</t>
  </si>
  <si>
    <t>JH2/1-01</t>
  </si>
  <si>
    <t>UNIDAD</t>
  </si>
  <si>
    <t>ASESORES PARA UN MUNDO GLOBALIZADO S.A.-ASEMG S.A.</t>
  </si>
  <si>
    <t>AIR EUROPA LINEAS AEREAS S.A. SUCURSAL DEL PERU</t>
  </si>
  <si>
    <t>TALMA SERVICIOS AEROPORTUARIOS S.A</t>
  </si>
  <si>
    <t>014290644</t>
  </si>
  <si>
    <t>GAVA PERU S.A.C.</t>
  </si>
  <si>
    <t>VALVULA OLEOHIDRAULICA, FLUIDEA, JH2/1-03</t>
  </si>
  <si>
    <t>'JH20036</t>
  </si>
  <si>
    <t>JH2/1-03</t>
  </si>
  <si>
    <t>023937</t>
  </si>
  <si>
    <t>ALEMANIA</t>
  </si>
  <si>
    <t>Valvulas Esfericas</t>
  </si>
  <si>
    <t>ELECTROVALVULAS, NORDFLUID, 4WP10H5</t>
  </si>
  <si>
    <t>'R901362425</t>
  </si>
  <si>
    <t>ELECTROVALVULAS OLEOHIDRAULICAS</t>
  </si>
  <si>
    <t>ELECTROVALVULAS</t>
  </si>
  <si>
    <t>NORDFLUID</t>
  </si>
  <si>
    <t>4WP10H5</t>
  </si>
  <si>
    <t>014290744</t>
  </si>
  <si>
    <t>ELECTROVALVULAS, NORDFLUID, 4WP10D5</t>
  </si>
  <si>
    <t>'R901347064</t>
  </si>
  <si>
    <t>4WP10D5</t>
  </si>
  <si>
    <t>Partes</t>
  </si>
  <si>
    <t>KIT DE SELLOS, NORDFLUID, S/M</t>
  </si>
  <si>
    <t>61259-000</t>
  </si>
  <si>
    <t>KIT DE SELLOS PARA MOTORES OLEOHIDRAULICOS</t>
  </si>
  <si>
    <t>030222</t>
  </si>
  <si>
    <t>SOUTH EL MONTE, ESTADOS UNIDOS; USSDM</t>
  </si>
  <si>
    <t>Juegos O Surtidos De Juntas De Distinta Composicion Presentados En Bolsitas, Sobre Envases Analogos</t>
  </si>
  <si>
    <t>KIT DE SELLOS, Pullmaster, 23123</t>
  </si>
  <si>
    <t>SELLADO INTERNO</t>
  </si>
  <si>
    <t>Pullmaster</t>
  </si>
  <si>
    <t>KIT DE SELLOS, TULSA, 4335</t>
  </si>
  <si>
    <t>4335 // Misc. Sales</t>
  </si>
  <si>
    <t>TULSA</t>
  </si>
  <si>
    <t>Demas Partes De Rodamientos</t>
  </si>
  <si>
    <t>PORTA RODAMIENTO, TULSA, 41752</t>
  </si>
  <si>
    <t>Misc. Sales // 41752</t>
  </si>
  <si>
    <t>TRANSMISION</t>
  </si>
  <si>
    <t>PORTA RODAMIENTO</t>
  </si>
  <si>
    <t>UNIDADES</t>
  </si>
  <si>
    <t>033649</t>
  </si>
  <si>
    <t>ESPANA</t>
  </si>
  <si>
    <t>HANNOVER, ALEMANIA; DEHAJ</t>
  </si>
  <si>
    <t>Elementos Filtrantes Para Filtros De Motores</t>
  </si>
  <si>
    <t>Elemento de Filtro de Aceite, S/M, S/M</t>
  </si>
  <si>
    <t>Filtrado</t>
  </si>
  <si>
    <t>Elemento de Filtro de Aceite</t>
  </si>
  <si>
    <t>IBERIA LINEAS AEREAS DE ESPAÑA SOCIEDAD ANONIMA OPERADORA SUCURSAL DEL PERU</t>
  </si>
  <si>
    <t>'A550019</t>
  </si>
  <si>
    <t>Aros De Obturacion (Retenes O Retenedores)</t>
  </si>
  <si>
    <t>Reten, S/M, S/M</t>
  </si>
  <si>
    <t>Sellado</t>
  </si>
  <si>
    <t>Reten</t>
  </si>
  <si>
    <t>035217</t>
  </si>
  <si>
    <t>BANCO CONTINENTAL</t>
  </si>
  <si>
    <t>MIAMI, ESTADOS UNIDOS; USMIA</t>
  </si>
  <si>
    <t>Demas Motores Hidraulico, Excepto Con Movimiento Rectilineo (Embolo)</t>
  </si>
  <si>
    <t>MOTOR OLEOHIDRAULICO, S/M, 8380BMK</t>
  </si>
  <si>
    <t>WF 105 1001 ORBITAL MOTOR</t>
  </si>
  <si>
    <t>MOTOR OLEOHIDRAULICO</t>
  </si>
  <si>
    <t>8380BMK</t>
  </si>
  <si>
    <t>NORTHERN AIR CARGO SUCURSAL DEL PERU</t>
  </si>
  <si>
    <t>SHOHIN S.A.</t>
  </si>
  <si>
    <t>PAGO DIFERIDO</t>
  </si>
  <si>
    <t>048145</t>
  </si>
  <si>
    <t>BOMBA OLEOHIDRAULICA, METARIS, 4535</t>
  </si>
  <si>
    <t>432659 4535VQ60A38-11AA20</t>
  </si>
  <si>
    <t>RP09230A</t>
  </si>
  <si>
    <t>BOMBA OLEOHIDRAULICA</t>
  </si>
  <si>
    <t>METARIS</t>
  </si>
  <si>
    <t>KIT DE SELLOS, METARIS, V20</t>
  </si>
  <si>
    <t>922733 SEAL KIT V20 OR V210 WITH #3 #4 #7 SHAFTS</t>
  </si>
  <si>
    <t>PO07320A</t>
  </si>
  <si>
    <t>KIT DE SELLOS PARA BOMBA</t>
  </si>
  <si>
    <t>BOMBA OLEOHIDRAULICA, METARIS, T6ED</t>
  </si>
  <si>
    <t>024-50585 T6EDM-066-B42-3R-00-C1</t>
  </si>
  <si>
    <t>D188480A</t>
  </si>
  <si>
    <t>T6ED</t>
  </si>
  <si>
    <t>Demas Partes De Articulos De Griferia Y Organos Similares Para Tuberias, Calderas, Depositos, Cubas O Continentes Similares, Incluidas Las Valvulas Re</t>
  </si>
  <si>
    <t>PALANCA DE VALVULA, HYDRAULEX, S/M</t>
  </si>
  <si>
    <t>DV20-H-4 A20-HANDLE-8IN</t>
  </si>
  <si>
    <t>PALANCA DE VALVULA</t>
  </si>
  <si>
    <t>HYDRAULEX</t>
  </si>
  <si>
    <t>EJES, METARIS, S14-28180</t>
  </si>
  <si>
    <t>COMPONENTE DE REPUESTO PARA BOMBAS OLEOHIDRAULICAS</t>
  </si>
  <si>
    <t>EJE ACERO PARA BOMBAS OLEOHIDRAULICAS</t>
  </si>
  <si>
    <t>EJES</t>
  </si>
  <si>
    <t>S14-28180</t>
  </si>
  <si>
    <t>053718</t>
  </si>
  <si>
    <t>Demas Arboles De Transmision Y Manivelas, Excepto De Motores De Aviacion</t>
  </si>
  <si>
    <t>ALINEAMIENTO Y MONTAJE</t>
  </si>
  <si>
    <t>GC03700A</t>
  </si>
  <si>
    <t>FCA</t>
  </si>
  <si>
    <t>KIT DE SELLOS, METARIS, 687588</t>
  </si>
  <si>
    <t>SELLADO DE BOMBA</t>
  </si>
  <si>
    <t>QU77120A</t>
  </si>
  <si>
    <t>Demas Articulos De Griferia Y Organos Similares Para Tuberias, Calderas, Depositos, Cubas O Continentes Similares</t>
  </si>
  <si>
    <t>VALVULA, METARIS, MHDV20</t>
  </si>
  <si>
    <t>VALVULA</t>
  </si>
  <si>
    <t>COMANDO  DE FLUJO</t>
  </si>
  <si>
    <t>'NW235540</t>
  </si>
  <si>
    <t>054111</t>
  </si>
  <si>
    <t>MENBRA PARA ACOPLE, VULKAN, S/M</t>
  </si>
  <si>
    <t>2K57620029</t>
  </si>
  <si>
    <t>VKE 57 MENBRANA PARA ACOPLE DE MOTORES</t>
  </si>
  <si>
    <t>MENBRA PARA ACOPLE</t>
  </si>
  <si>
    <t>VULKAN</t>
  </si>
  <si>
    <t>AMERICAN VULKAN CORP</t>
  </si>
  <si>
    <t>067977</t>
  </si>
  <si>
    <t>REINO UNIDO</t>
  </si>
  <si>
    <t>LONDON, REINO UNIDO; GBLON</t>
  </si>
  <si>
    <t>MOTORES OLEOHIDRAULICOS, ANTECH, HMB045</t>
  </si>
  <si>
    <t>HMB045/P/50 STAFFA HYDRAULIC MOTOR</t>
  </si>
  <si>
    <t>MOTORES OLEOHIDRAULICOS</t>
  </si>
  <si>
    <t>ANTECH</t>
  </si>
  <si>
    <t>AIR CANADA SUCURSAL DEL PERU</t>
  </si>
  <si>
    <t>ALMACENES FORWARDER S.A.C.</t>
  </si>
  <si>
    <t>3AE24040049</t>
  </si>
  <si>
    <t>MSL DEL PERU SAC</t>
  </si>
  <si>
    <t>072360</t>
  </si>
  <si>
    <t>CHINA</t>
  </si>
  <si>
    <t>Demas Partes De Las Demas Bombas Para Liquidos De La Partida 84.13</t>
  </si>
  <si>
    <t>Cartuchos 42 gpm de Bomba, S/M, VS24 - 40342-0</t>
  </si>
  <si>
    <t>Cartuchos 42 gpm de Bomba</t>
  </si>
  <si>
    <t>USO:IMPULSOR DE CAUDAL</t>
  </si>
  <si>
    <t>T6EDM B42 CART KIT CW REAR</t>
  </si>
  <si>
    <t>VS24 - 40342-0</t>
  </si>
  <si>
    <t>FLUIDYNE FLUID POWER</t>
  </si>
  <si>
    <t>FOB</t>
  </si>
  <si>
    <t>Plato flexible, S/M, 923954</t>
  </si>
  <si>
    <t>Plato flexible</t>
  </si>
  <si>
    <t>USO:Componente de Cartuchos</t>
  </si>
  <si>
    <t>WF923954 45VQ FLEX PLATE KIT</t>
  </si>
  <si>
    <t>Cartucho de 17 gpm, S/M, VS24-40164-0</t>
  </si>
  <si>
    <t>Cartucho de 17 gpm</t>
  </si>
  <si>
    <t>T6CCM B17 CART KIT CW FRONT</t>
  </si>
  <si>
    <t>VS24-40164-0</t>
  </si>
  <si>
    <t>077535</t>
  </si>
  <si>
    <t>ORLANDO, ESTADOS UNIDOS; USORL</t>
  </si>
  <si>
    <t>Demas Arandelas, De Fundicion, Hierro O Acero</t>
  </si>
  <si>
    <t>ARANDELAS, VULKAN, S/M</t>
  </si>
  <si>
    <t>ARANDELAS</t>
  </si>
  <si>
    <t>SUMINISTRO DE USO INDUSTRIAL</t>
  </si>
  <si>
    <t>KILO</t>
  </si>
  <si>
    <t>Demas Tornillos, Incluso Con Sus Tuercas Y Arandelas, De Fundicion, De Hierro O De Acero</t>
  </si>
  <si>
    <t>PERNO, S/M, S/M</t>
  </si>
  <si>
    <t>PERNO HEX M10 X30</t>
  </si>
  <si>
    <t>PERNO</t>
  </si>
  <si>
    <t>PERNOS, S/M, S/M</t>
  </si>
  <si>
    <t>PERNOS M14 X75</t>
  </si>
  <si>
    <t>PERNOS</t>
  </si>
  <si>
    <t>ARANDELAS, S/M, S/M</t>
  </si>
  <si>
    <t>ARANDELAS FL M10</t>
  </si>
  <si>
    <t>ELEMENTO DE MEMBRANA  RATO, VULKAN, RATO-R</t>
  </si>
  <si>
    <t>ELEMENTO DE MEMBRANA  RATO</t>
  </si>
  <si>
    <t>EG2F2H000R</t>
  </si>
  <si>
    <t>ELEMENTO DE MEMBRANA RATO</t>
  </si>
  <si>
    <t>RATO-R</t>
  </si>
  <si>
    <t>PERNOS M14 X 40</t>
  </si>
  <si>
    <t>ELEMENTO DE ACOPLE, VULKAN, RATO-S 1711</t>
  </si>
  <si>
    <t>ELEMENTO DE ACOPLE</t>
  </si>
  <si>
    <t>EG1711A001</t>
  </si>
  <si>
    <t>RATO-S 1711</t>
  </si>
  <si>
    <t>CONJUNTO DE MEMBRANA, VULKAN, RATO-R 25</t>
  </si>
  <si>
    <t>CONJUNTO DE MEMBRANA</t>
  </si>
  <si>
    <t>2G25K2000M</t>
  </si>
  <si>
    <t>RATO-R 25</t>
  </si>
  <si>
    <t>Tuercas, De Fundicion, Hierro O Acero</t>
  </si>
  <si>
    <t>TUERCAS, S/M, S/M</t>
  </si>
  <si>
    <t>TUERCAS M14 -10</t>
  </si>
  <si>
    <t>TUERCAS</t>
  </si>
  <si>
    <t>MARITIMA DEL CALLAO</t>
  </si>
  <si>
    <t>MARITIMO</t>
  </si>
  <si>
    <t>INDIA</t>
  </si>
  <si>
    <t>JAWAHARLAL NEHRU (NHAVA SHEVA), INDIA; INNSA</t>
  </si>
  <si>
    <t>MOTOR HIDRAULICO DE VANES, VELJAN, VM4C-043-002</t>
  </si>
  <si>
    <t>HYD. VANE NOTOR</t>
  </si>
  <si>
    <t>VM4C-043-IN00-A102</t>
  </si>
  <si>
    <t>MOTOR OLEOHIDRAULICO PARA USO EN SISTEMAS OLEOHIDRAULICOS</t>
  </si>
  <si>
    <t>MOTOR HIDRAULICO DE VANES</t>
  </si>
  <si>
    <t>VELJAN</t>
  </si>
  <si>
    <t>VM4C-043-002</t>
  </si>
  <si>
    <t>PIEZA</t>
  </si>
  <si>
    <t>MEDITERRANEAN SHIPPING COMPANY DEL PERU SAC</t>
  </si>
  <si>
    <t>'MEDUJ7197877</t>
  </si>
  <si>
    <t>911254000192-A</t>
  </si>
  <si>
    <t>MSC DAKAR X</t>
  </si>
  <si>
    <t>BOMBA HIDRAULICA DE VANES, VELJAN, VT6ED-072-005</t>
  </si>
  <si>
    <t>HYDRAULIC VANE PUMP</t>
  </si>
  <si>
    <t>VT6ED-072-050-1R00-B1</t>
  </si>
  <si>
    <t>BOMBA OLEOHIDRAULICO PARA USO EN SISTEMAS OLEOHIDRAULICOS</t>
  </si>
  <si>
    <t>PAGO ANTICIPADO</t>
  </si>
  <si>
    <t>BOMBA HIDRAULICA DE VANES</t>
  </si>
  <si>
    <t>VT6ED-072-005</t>
  </si>
  <si>
    <t>KIT DE SELLOS, VELJAN, VS14-29879</t>
  </si>
  <si>
    <t>VSEAL KIT (STANDARD) S1-M4C/M4C1</t>
  </si>
  <si>
    <t>VS14-29879</t>
  </si>
  <si>
    <t>COMPONENTE DE REPUESTO PARA MOTORES OLEOHIDRAULICOS</t>
  </si>
  <si>
    <t>CARTUCHO DE ACERO, VELJAN, VS24-10228</t>
  </si>
  <si>
    <t>VCART&amp;PLATE ASSY B42 CW (P2) - T6ED/EDC/EDY</t>
  </si>
  <si>
    <t>VS24-10228</t>
  </si>
  <si>
    <t>CARTUCHO DE ACERO</t>
  </si>
  <si>
    <t>085650</t>
  </si>
  <si>
    <t>Demas Bombas Volumetricas Rotativas</t>
  </si>
  <si>
    <t>BOMBA OLEOHIDRAULICA, S/M, T6ED</t>
  </si>
  <si>
    <t>V024-50585-0 / T6EDM066B423R00C1</t>
  </si>
  <si>
    <t>Polipastos, Excepto Con Motor Electrico</t>
  </si>
  <si>
    <t>WINCHE, PULLMASTER, M25-3-101-3</t>
  </si>
  <si>
    <t>12-1422-00083RH</t>
  </si>
  <si>
    <t>WINCHE PARA HALAR DE CARGAS DE USO EN LA INDUSTRIA EN GENERAL</t>
  </si>
  <si>
    <t>WINCH PULLMASTER</t>
  </si>
  <si>
    <t>WINCHE</t>
  </si>
  <si>
    <t>PULLMASTER</t>
  </si>
  <si>
    <t>M25-3-101-3</t>
  </si>
  <si>
    <t>CITIKOLD DEL PERU S.A.C.</t>
  </si>
  <si>
    <t>VILLAS OQUENDO S.A.</t>
  </si>
  <si>
    <t>SMLU8074818A</t>
  </si>
  <si>
    <t>HELLE RITSCHER</t>
  </si>
  <si>
    <t>VANGUARD LOGISTICS SERVICES PERU S.A.C.</t>
  </si>
  <si>
    <t>093782</t>
  </si>
  <si>
    <t>Volantes Y Poleas, Incluidos Los Motones</t>
  </si>
  <si>
    <t>ELEMENTO DE ACOPLE, VULKAN, RATO-S</t>
  </si>
  <si>
    <t>RATO-S 1711 ELEM</t>
  </si>
  <si>
    <t>PAGO AL CR?DITO A 30 D?AS</t>
  </si>
  <si>
    <t>RATO-S</t>
  </si>
  <si>
    <t>096864</t>
  </si>
  <si>
    <t>Demas Valvulas De Alivio O De Seguridad</t>
  </si>
  <si>
    <t>VALVULA DE ALIVIO, S/M, CT 10</t>
  </si>
  <si>
    <t>WF860262-I</t>
  </si>
  <si>
    <t>Controlar presion</t>
  </si>
  <si>
    <t>VALVULA DE ALIVIO</t>
  </si>
  <si>
    <t>KIT DE SELLOS, S/M, 920025</t>
  </si>
  <si>
    <t>'V920025</t>
  </si>
  <si>
    <t>KIT DE SELLOS, S/M, VS24-26387-0</t>
  </si>
  <si>
    <t>VS24-26387-0</t>
  </si>
  <si>
    <t>KIT DE SELLOS, S/M, VS24-10219-0</t>
  </si>
  <si>
    <t>VS24-10219-0</t>
  </si>
  <si>
    <t>VALVULA DE ALIVIO, S/M, CT 06</t>
  </si>
  <si>
    <t>WF860259-I</t>
  </si>
  <si>
    <t>EJES, S/M, 374338</t>
  </si>
  <si>
    <t>ALINEACION</t>
  </si>
  <si>
    <t>097669</t>
  </si>
  <si>
    <t>MILANO-MALPENSA APT, ITALIA; ITMXP</t>
  </si>
  <si>
    <t>Demas Aparatos Para Filtrar O Depurar Liquidos</t>
  </si>
  <si>
    <t>FILTRO, S/M, FMM502S</t>
  </si>
  <si>
    <t>FUNCION: FILTRADO</t>
  </si>
  <si>
    <t>MALLA DE ACERO</t>
  </si>
  <si>
    <t>FILTRO</t>
  </si>
  <si>
    <t>FMM502S</t>
  </si>
  <si>
    <t>PLUS ULTRA LÍNEAS AÉREAS S.A. SUCURSAL PERU</t>
  </si>
  <si>
    <t>FILTRO, S/M, FF0303A</t>
  </si>
  <si>
    <t>FF0303A</t>
  </si>
  <si>
    <t>KIT DE SELLOS, S/M, 4000 4K</t>
  </si>
  <si>
    <t>SELLO INTERNO DE MOTORES</t>
  </si>
  <si>
    <t>DE JEBE</t>
  </si>
  <si>
    <t>4000 4K</t>
  </si>
  <si>
    <t>CHESTERFIELD, ESTADOS UNIDOS; USCFE</t>
  </si>
  <si>
    <t>EJES, Metaris, S14-28180</t>
  </si>
  <si>
    <t>ALINEAMIENTO DE BOMBAS</t>
  </si>
  <si>
    <t>Metaris</t>
  </si>
  <si>
    <t>CARTUCHO DE MOTOR, Metaris, 923100</t>
  </si>
  <si>
    <t>GENERAR MOVIMIENTO MOTOR</t>
  </si>
  <si>
    <t>Cartucho de motor 50M- 255</t>
  </si>
  <si>
    <t>CARTUCHO DE MOTOR</t>
  </si>
  <si>
    <t>HAMBURG, ALEMANIA; DEHAM</t>
  </si>
  <si>
    <t>Demas Aparatos Para Filtrar O Depurar Gases</t>
  </si>
  <si>
    <t>FILTROS, SAMCO, 3909</t>
  </si>
  <si>
    <t>FILTROS</t>
  </si>
  <si>
    <t>SAMCO AUTOTECHNIK GMBH</t>
  </si>
  <si>
    <t>04591808006</t>
  </si>
  <si>
    <t>MUC-10006065</t>
  </si>
  <si>
    <t>CRAFT MULTIMODAL PERU S.A.</t>
  </si>
  <si>
    <t>BOCA RATON, ESTADOS UNIDOS; USBCT</t>
  </si>
  <si>
    <t>Organos De Acoplamiento, Incluidas Las Juntas De Articulacion</t>
  </si>
  <si>
    <t>ACOPLE, REXNORD, 350AMR</t>
  </si>
  <si>
    <t>ACOPLE</t>
  </si>
  <si>
    <t>350AMR</t>
  </si>
  <si>
    <t>REXNORD</t>
  </si>
  <si>
    <t>LA SPEZIA, ITALIA; ITSPE</t>
  </si>
  <si>
    <t>MOTORES OLEOHIDRAULICOS, NORDFLUID, GM3 800</t>
  </si>
  <si>
    <t>1SA0049</t>
  </si>
  <si>
    <t>GM3 800</t>
  </si>
  <si>
    <t>NORD FLUID SPA</t>
  </si>
  <si>
    <t>TERMINALES PORTUARIOS PERUANOS SAC</t>
  </si>
  <si>
    <t>'MEDUJ9694509</t>
  </si>
  <si>
    <t>24620634-H001</t>
  </si>
  <si>
    <t>MSC PALAK</t>
  </si>
  <si>
    <t>CARTRIDGE KIT, NORDFLUID, 35M</t>
  </si>
  <si>
    <t>CARTRIDGE KIT</t>
  </si>
  <si>
    <t>35M</t>
  </si>
  <si>
    <t>CARTRIDGE KIT, NORDFLUID, 45M</t>
  </si>
  <si>
    <t>45M</t>
  </si>
  <si>
    <t>KIT DE SELLOS, NORDFLUID, GM3 800</t>
  </si>
  <si>
    <t>1SA0048</t>
  </si>
  <si>
    <t>KIT DE SELLOS DE MOTOR</t>
  </si>
  <si>
    <t>KIT DE SELLOS, NORDFLUID, GM3 700</t>
  </si>
  <si>
    <t>1SA7142</t>
  </si>
  <si>
    <t>GM3 700</t>
  </si>
  <si>
    <t>FRANKFURT/MAIN, ALEMANIA; DEFRA</t>
  </si>
  <si>
    <t>ACOPLAMIENTO, VULKAN, RATO-S</t>
  </si>
  <si>
    <t>1G122100AB</t>
  </si>
  <si>
    <t>RATO-S 1221-2100 CPLG / PILOT BORE</t>
  </si>
  <si>
    <t>ACOPLAMIENTO VULKAN, MODELO RATO-S</t>
  </si>
  <si>
    <t>PAGO AL CREDITO 30 DIAS A PARTIR DE LA FECHA DE LA EMISI?N DE LA FACTURA</t>
  </si>
  <si>
    <t>01401276085</t>
  </si>
  <si>
    <t>'FRA000516505</t>
  </si>
  <si>
    <t>KIT DE SELLOS PARA MOTOR 25M, S/M, 923157</t>
  </si>
  <si>
    <t>KIT DE SELLOS PARA MOTOR 25M</t>
  </si>
  <si>
    <t>PO07900A</t>
  </si>
  <si>
    <t>EJES, S/M, S14-28180</t>
  </si>
  <si>
    <t>ALINEAMIENTO DE COMPONENTES</t>
  </si>
  <si>
    <t>EJES, S/M, 312153</t>
  </si>
  <si>
    <t>PS01790A</t>
  </si>
  <si>
    <t>KIT DE SELLOS PARA BOMBA T6ED, S/M, S24-10219</t>
  </si>
  <si>
    <t>KIT DE SELLOS PARA BOMBA T6ED</t>
  </si>
  <si>
    <t>FY01050A</t>
  </si>
  <si>
    <t>S24-10219</t>
  </si>
  <si>
    <t>MOTOR OLEOHIDRAULICO, CHARLYN, 109</t>
  </si>
  <si>
    <t>109-1106-006</t>
  </si>
  <si>
    <t>CHARLYN</t>
  </si>
  <si>
    <t>014294148</t>
  </si>
  <si>
    <t>KIT DE SELLOS, S/M, GS4</t>
  </si>
  <si>
    <t>1SA7795</t>
  </si>
  <si>
    <t>MOTOR OLEOHIDRAULICO, CHARLYN, 104</t>
  </si>
  <si>
    <t>104-1065-006</t>
  </si>
  <si>
    <t>MOTOR OLEOHIDRAULICO, CHARLYN, 112-1064</t>
  </si>
  <si>
    <t>112-1064-006</t>
  </si>
  <si>
    <t>112-1064</t>
  </si>
  <si>
    <t>MOTOR OLEOHIDRAULICO, CHARLYN, 112</t>
  </si>
  <si>
    <t>112-1066-006</t>
  </si>
  <si>
    <t>MOTOR OLEOHIDRAULICO, CHARLYN, 109-1106</t>
  </si>
  <si>
    <t>109-1106</t>
  </si>
  <si>
    <t>KIT DE SELLOS, S/M, GM2</t>
  </si>
  <si>
    <t>1SA07750</t>
  </si>
  <si>
    <t>Demas Partes Identificables Como Destinadas, Exclusiva O Principalmente, A Las Maquinas O Aparatos De La Partida 84.25</t>
  </si>
  <si>
    <t>DISCOS DE FRICCION, PULLMASTER, 25304</t>
  </si>
  <si>
    <t>DISCOS DE FRICCION</t>
  </si>
  <si>
    <t>25304 PM</t>
  </si>
  <si>
    <t>WINCHES INC</t>
  </si>
  <si>
    <t>DISCOS DIVISORES, PULLMASTER, 21252</t>
  </si>
  <si>
    <t>DISCOS DIVISORES</t>
  </si>
  <si>
    <t>21252 PM</t>
  </si>
  <si>
    <t>DISCOS DE FRICCION, PULLMASTER, 25194</t>
  </si>
  <si>
    <t>25194 PM</t>
  </si>
  <si>
    <t>KIT DE SELLOS, PULLMASTER, 23125</t>
  </si>
  <si>
    <t>23125 PM</t>
  </si>
  <si>
    <t>KIT DE SELLOS, PULLMASTER, 23123</t>
  </si>
  <si>
    <t>23123 PM</t>
  </si>
  <si>
    <t>DISCOS DIVISORES, PULLMASTER, 25305</t>
  </si>
  <si>
    <t>25305 PM</t>
  </si>
  <si>
    <t>KIT DE SELLOS, PULLMASTER, 23126</t>
  </si>
  <si>
    <t>23126 PM</t>
  </si>
  <si>
    <t>FILTRO ACEITE A037, S/M, A550019</t>
  </si>
  <si>
    <t>FILTRADO</t>
  </si>
  <si>
    <t>FILTRO ACEITE A037</t>
  </si>
  <si>
    <t>FILTRO ACEITE A037, S/M, A338591</t>
  </si>
  <si>
    <t>'A338591</t>
  </si>
  <si>
    <t>Demas Termometros, Excepto Para Vehiculos Del Capitulo 87, Electricos O Electronicos, Sin Combinar Con Otros Instrumentos</t>
  </si>
  <si>
    <t>TERMOMETRO, S/M, A054</t>
  </si>
  <si>
    <t>'A1010122</t>
  </si>
  <si>
    <t>LECTURA DE TEMPERATURA</t>
  </si>
  <si>
    <t>TERMOMETRO</t>
  </si>
  <si>
    <t>Instrumentos Y Aparatos Para Medida O Control De Presion</t>
  </si>
  <si>
    <t>MANOMETRO, S/M, A035</t>
  </si>
  <si>
    <t>'A506214</t>
  </si>
  <si>
    <t>LECTURA DE PRESION</t>
  </si>
  <si>
    <t>MANOMETRO</t>
  </si>
  <si>
    <t>BOMBA OLEOHIDRAULICO, S/M, M4D</t>
  </si>
  <si>
    <t>M4D</t>
  </si>
  <si>
    <t>ACCIONAMIENTO DE EQUIPO</t>
  </si>
  <si>
    <t>BOMBA OLEOHIDRAULICO</t>
  </si>
  <si>
    <t>ELEMENTO DE ACOPLE, VULKAN, 3411</t>
  </si>
  <si>
    <t>VL 3411 ELEMENT W/O BOSS</t>
  </si>
  <si>
    <t>2X34110018</t>
  </si>
  <si>
    <t>ELEMENTO DE ACOPLE VULASTIK</t>
  </si>
  <si>
    <t>ELEMENTO DE ACOPLE, VULKAN, 3115</t>
  </si>
  <si>
    <t>RATO-DS 3115 ELE / 32HOLE</t>
  </si>
  <si>
    <t>EA3115A003</t>
  </si>
  <si>
    <t>PAGO AL CR?DITO A 30 D?AS DESDE LA FECHA DE LA FACTURA</t>
  </si>
  <si>
    <t>JUNTA, REINTJES, WAF0743L</t>
  </si>
  <si>
    <t>PARTE DE BOMBA DE ACEITE</t>
  </si>
  <si>
    <t>JUNTA</t>
  </si>
  <si>
    <t>POS. E235A</t>
  </si>
  <si>
    <t>REINTJES</t>
  </si>
  <si>
    <t>WAF0743L</t>
  </si>
  <si>
    <t>K L M CIA REAL HOLANDESA DE AVIACION</t>
  </si>
  <si>
    <t>07402086302</t>
  </si>
  <si>
    <t>'FRA000553676</t>
  </si>
  <si>
    <t>JUEGO DE JUNTAS, REINTJES, WAF0743L</t>
  </si>
  <si>
    <t>'A437310</t>
  </si>
  <si>
    <t>PARTE DE FILTRO DE ACEITE</t>
  </si>
  <si>
    <t>JUEGO DE JUNTAS</t>
  </si>
  <si>
    <t>POS. A283</t>
  </si>
  <si>
    <t>'A21784</t>
  </si>
  <si>
    <t>PARTE DE BOTES RETARDO</t>
  </si>
  <si>
    <t>POS. I1072/73A</t>
  </si>
  <si>
    <t>JUNTA ARANDELA, REINTJES, WAF0743L</t>
  </si>
  <si>
    <t>'A112321</t>
  </si>
  <si>
    <t>PARTE DE PLACA EMPALME</t>
  </si>
  <si>
    <t>JUNTA ARANDELA</t>
  </si>
  <si>
    <t>POS. V237A</t>
  </si>
  <si>
    <t>Demas Partes Para Motores De Embolo De Encendido Por Compresion (Motor Diesel O Semi-Diesel)</t>
  </si>
  <si>
    <t>MUELLE, REINTJES, WAF0743L</t>
  </si>
  <si>
    <t>'A112364</t>
  </si>
  <si>
    <t>MUELLE</t>
  </si>
  <si>
    <t>POS. V239</t>
  </si>
  <si>
    <t>PNEUCO PISTON COMPLETO, REINTJES, WAF0743L</t>
  </si>
  <si>
    <t>'A447471</t>
  </si>
  <si>
    <t>PARTE DE VALVULA MANDO NEUMATICA</t>
  </si>
  <si>
    <t>PNEUCO PISTON COMPLETO</t>
  </si>
  <si>
    <t>POS. V263</t>
  </si>
  <si>
    <t>MANOMETRO, REINTJES, WAF0743L</t>
  </si>
  <si>
    <t>PARTE DE SUPERVISION</t>
  </si>
  <si>
    <t>POS. A035</t>
  </si>
  <si>
    <t>FILTRO DESAIRE, REINTJES, WAF0743L</t>
  </si>
  <si>
    <t>'A1020638</t>
  </si>
  <si>
    <t>PARTE DE CARCASA REDUCTOR</t>
  </si>
  <si>
    <t>FILTRO DESAIRE</t>
  </si>
  <si>
    <t>POS. E107</t>
  </si>
  <si>
    <t>Demas Colas Y Demas Adhesivos Preparados, No Expresados Ni Comprendidos En Otra Parte</t>
  </si>
  <si>
    <t>PEGAMENTO PARA JUNTA, REINTJES, WAF0743L</t>
  </si>
  <si>
    <t>PEGAMENTO PARA JUNTA</t>
  </si>
  <si>
    <t>Rodamientos De Bolas</t>
  </si>
  <si>
    <t>RODAMIENTO, REINTJES, WAF0743L</t>
  </si>
  <si>
    <t>'A7544</t>
  </si>
  <si>
    <t>PARTE DE EJE DE ENTRADA, EJE INTERMEDIO Y EMBRAGUES</t>
  </si>
  <si>
    <t>RODAMIENTO</t>
  </si>
  <si>
    <t>POS. E015</t>
  </si>
  <si>
    <t>Partes De Maquinas Y Aparatos Para Soldar; Maquinas Y Aparatos Electricos Para Proyectar En Caliente Metal O Cermet.</t>
  </si>
  <si>
    <t>SEGMENTO, REINTJES, WAF0743L</t>
  </si>
  <si>
    <t>'A246301</t>
  </si>
  <si>
    <t>SEGMENTO</t>
  </si>
  <si>
    <t>POS. K007</t>
  </si>
  <si>
    <t>TORNILLO HEXAGONAL CON PEGAMENTO, REINTJES, WAF0743L</t>
  </si>
  <si>
    <t>'A451932</t>
  </si>
  <si>
    <t>TORNILLO HEXAGONAL CON PEGAMENTO</t>
  </si>
  <si>
    <t>POS. K013</t>
  </si>
  <si>
    <t>TORNILLO HEXAGONAL CON PEGAMEN</t>
  </si>
  <si>
    <t>'A111589</t>
  </si>
  <si>
    <t>'K120</t>
  </si>
  <si>
    <t>Demas Cajas De Cojinetes Sin Rodamientos Y Cojinetes</t>
  </si>
  <si>
    <t>PISTA RETEN, REINTJES, WAF0743L</t>
  </si>
  <si>
    <t>'A36315</t>
  </si>
  <si>
    <t>PISTA RETEN</t>
  </si>
  <si>
    <t>POS. W012</t>
  </si>
  <si>
    <t>'A8435</t>
  </si>
  <si>
    <t>PARTE DE EJES PI?ON</t>
  </si>
  <si>
    <t>POS. E123</t>
  </si>
  <si>
    <t>ANILLO FIJACION, REINTJES, WAF0743L</t>
  </si>
  <si>
    <t>'A247731</t>
  </si>
  <si>
    <t>ANILLO FIJACION</t>
  </si>
  <si>
    <t>POS. G316</t>
  </si>
  <si>
    <t>Demas Manufacturas Moldeadas, De Fundicion No Maleable</t>
  </si>
  <si>
    <t>DISTRIBUIDOR DE ACEITE, REINTJES, WAF0743L</t>
  </si>
  <si>
    <t>'A988518</t>
  </si>
  <si>
    <t>PARTE DE CONJUNTO ACCIONAMIENTO BOMBA</t>
  </si>
  <si>
    <t>DISTRIBUIDOR DE ACEITE</t>
  </si>
  <si>
    <t>POS. E028</t>
  </si>
  <si>
    <t>'A7706</t>
  </si>
  <si>
    <t>PARTE DE EJE DE SALIDA</t>
  </si>
  <si>
    <t>POS. P020</t>
  </si>
  <si>
    <t>Pasadores, Clavijas Y Chavetas, De Fundicion, Hierro O Acero</t>
  </si>
  <si>
    <t>PASADOR ROSCADO, REINTJES, WAF0743L</t>
  </si>
  <si>
    <t>'A11703</t>
  </si>
  <si>
    <t>PASADOR ROSCADO</t>
  </si>
  <si>
    <t>POS. P043</t>
  </si>
  <si>
    <t>'A282634</t>
  </si>
  <si>
    <t>PARTE DE ENFRIADOR DE ACEITE</t>
  </si>
  <si>
    <t>POS. A282</t>
  </si>
  <si>
    <t>'A21695</t>
  </si>
  <si>
    <t>POS. E235B</t>
  </si>
  <si>
    <t>'A25445</t>
  </si>
  <si>
    <t>POS. I1072/73B</t>
  </si>
  <si>
    <t>TAPON ROSCADO, REINTJES, WAF0743L</t>
  </si>
  <si>
    <t>'A417343</t>
  </si>
  <si>
    <t>TAPON ROSCADO</t>
  </si>
  <si>
    <t>POS. V237B</t>
  </si>
  <si>
    <t>TUERCA DE FIJACION, REINTJES, WAF0743L</t>
  </si>
  <si>
    <t>'A112348</t>
  </si>
  <si>
    <t>TUERCA DE FIJACION</t>
  </si>
  <si>
    <t>POS. V240</t>
  </si>
  <si>
    <t>'A301035</t>
  </si>
  <si>
    <t>POS. V264</t>
  </si>
  <si>
    <t>Demas Instrumentos Y Aparatos Para La Medida O Control Del Caudal, Nivel, Presion U Otras Caracteristicas Variables De Los Liquidos O De Los Gases, Ex</t>
  </si>
  <si>
    <t>INDICADOR DE CONTAMINACION, REINTJES, WAF0743L</t>
  </si>
  <si>
    <t>'A985048</t>
  </si>
  <si>
    <t>INDICADOR DE CONTAMINACION</t>
  </si>
  <si>
    <t>POS. A043</t>
  </si>
  <si>
    <t>JUNTA PLANA, REINTJES, WAF0743L</t>
  </si>
  <si>
    <t>'A506257</t>
  </si>
  <si>
    <t>JUNTA PLANA</t>
  </si>
  <si>
    <t>'E715</t>
  </si>
  <si>
    <t>Partes Y Accesorios Identificables Como Destinados, Exclusiva O Principalmente, A Las Maquinas De Las Partidas 84.62 U 84.63</t>
  </si>
  <si>
    <t>RETEN, REINTJES, WAF0743L</t>
  </si>
  <si>
    <t>'A9698585</t>
  </si>
  <si>
    <t>RETEN</t>
  </si>
  <si>
    <t>POS. E011</t>
  </si>
  <si>
    <t>'A8354</t>
  </si>
  <si>
    <t>POS. E122</t>
  </si>
  <si>
    <t>Demas Alambres De Hierro O Acero Sin Alear</t>
  </si>
  <si>
    <t>ALAMBRE DE FIJACION, REINTJES, WAF0743L</t>
  </si>
  <si>
    <t>'A1009313</t>
  </si>
  <si>
    <t>ALAMBRE DE FIJACION</t>
  </si>
  <si>
    <t>POS. K008A</t>
  </si>
  <si>
    <t>METRO</t>
  </si>
  <si>
    <t>'A20818</t>
  </si>
  <si>
    <t>POS. K018</t>
  </si>
  <si>
    <t>Anodos De Cobre Para Refinado Electrolitico</t>
  </si>
  <si>
    <t>ANODO, REINTJES, WAF0743L</t>
  </si>
  <si>
    <t>'A300543</t>
  </si>
  <si>
    <t>ANODO</t>
  </si>
  <si>
    <t>POS. A292</t>
  </si>
  <si>
    <t>'A300756</t>
  </si>
  <si>
    <t>POS. E714</t>
  </si>
  <si>
    <t>Valvulas</t>
  </si>
  <si>
    <t>VALVULA ANTIRRETORNO, REINTJES, WAF0743L</t>
  </si>
  <si>
    <t>'A2037947</t>
  </si>
  <si>
    <t>VALVULA ANTIRRETORNO</t>
  </si>
  <si>
    <t>POS. V233/234</t>
  </si>
  <si>
    <t>'A411590</t>
  </si>
  <si>
    <t>POS. V237C</t>
  </si>
  <si>
    <t>HUSILLO DE REGULACION, REINTJES, WAF0743L</t>
  </si>
  <si>
    <t>'A112356</t>
  </si>
  <si>
    <t>HUSILLO DE REGULACION</t>
  </si>
  <si>
    <t>POS. V241</t>
  </si>
  <si>
    <t>'A991475</t>
  </si>
  <si>
    <t>PARTE DE BLOQUE DE CONTROL</t>
  </si>
  <si>
    <t>POS. V250</t>
  </si>
  <si>
    <t>'A447315</t>
  </si>
  <si>
    <t>PARTE DE CIRCUITO HIDRAULICO</t>
  </si>
  <si>
    <t>POS. A005</t>
  </si>
  <si>
    <t>POS. E716</t>
  </si>
  <si>
    <t>POS. E013</t>
  </si>
  <si>
    <t>POS. E722</t>
  </si>
  <si>
    <t>FRENILLO DE ALAMBRE DE FIJACION, REINTJES, WAF0743L</t>
  </si>
  <si>
    <t>'A45110</t>
  </si>
  <si>
    <t>FRENILLO DE ALAMBRE DE FIJACION</t>
  </si>
  <si>
    <t>POS. K008C</t>
  </si>
  <si>
    <t>FRENILLO DE ALAMBRE DE FIJACIO</t>
  </si>
  <si>
    <t>Demas Partes De Embragues De Vehiculos Automotores De Las Partidas 87.01 A 87.05</t>
  </si>
  <si>
    <t>DISCO EMBRAGUE INTERIOR, REINTJES, WAF0743L</t>
  </si>
  <si>
    <t>DISCO EMBRAGUE INTERIOR</t>
  </si>
  <si>
    <t>POS. K022</t>
  </si>
  <si>
    <t>CARTUCHO, REINTJES, WAF0743L</t>
  </si>
  <si>
    <t>CARTUCHO</t>
  </si>
  <si>
    <t>POS. A037</t>
  </si>
  <si>
    <t>'A300780</t>
  </si>
  <si>
    <t>POS. E725</t>
  </si>
  <si>
    <t>'A21598</t>
  </si>
  <si>
    <t>POS. V235</t>
  </si>
  <si>
    <t>POS. V305</t>
  </si>
  <si>
    <t>'A300675</t>
  </si>
  <si>
    <t>POS. V223</t>
  </si>
  <si>
    <t>Partes De Maquinas Y Aparatos Para Trabajar Caucho O Plastico O Para Fabricar Productos De Estas Materias</t>
  </si>
  <si>
    <t>JUEGO DE REPARACION, REINTJES, WAF0743L</t>
  </si>
  <si>
    <t>JUEGO DE REPARACION</t>
  </si>
  <si>
    <t>POS. TOV247</t>
  </si>
  <si>
    <t>'A200832</t>
  </si>
  <si>
    <t>POS. A304</t>
  </si>
  <si>
    <t>'A572748</t>
  </si>
  <si>
    <t>POS. G003B</t>
  </si>
  <si>
    <t>ANILLO DE FIJACION, REINTJES, WAF0743L</t>
  </si>
  <si>
    <t>'A12912</t>
  </si>
  <si>
    <t>ANILLO DE FIJACION</t>
  </si>
  <si>
    <t>POS. K002</t>
  </si>
  <si>
    <t>MUELLE DE EMBRAGUE, REINTJES, WAF0743L</t>
  </si>
  <si>
    <t>'A360880</t>
  </si>
  <si>
    <t>MUELLE DE EMBRAGUE</t>
  </si>
  <si>
    <t>POS. K006</t>
  </si>
  <si>
    <t>TORNILLO HEXAGONAL, REINTJES, WAF0743L</t>
  </si>
  <si>
    <t>'A11487</t>
  </si>
  <si>
    <t>TORNILLO HEXAGONAL</t>
  </si>
  <si>
    <t>Aparatos Elevadores O Transportadores, Neumaticos</t>
  </si>
  <si>
    <t>ARRASTRADOR, REINTJES, WAF0743L</t>
  </si>
  <si>
    <t>'A404853</t>
  </si>
  <si>
    <t>ARRASTRADOR</t>
  </si>
  <si>
    <t>POS. K030</t>
  </si>
  <si>
    <t>POS. K128</t>
  </si>
  <si>
    <t>'A12807</t>
  </si>
  <si>
    <t>POS. W103</t>
  </si>
  <si>
    <t>POS. E124</t>
  </si>
  <si>
    <t>'A11738</t>
  </si>
  <si>
    <t>POS. R033</t>
  </si>
  <si>
    <t>'A10715</t>
  </si>
  <si>
    <t>POS. E046</t>
  </si>
  <si>
    <t>'A549770</t>
  </si>
  <si>
    <t>POS. P021</t>
  </si>
  <si>
    <t>TUERCA DE EJE, REINTJES, WAF0743L</t>
  </si>
  <si>
    <t>'A21520</t>
  </si>
  <si>
    <t>TUERCA DE EJE</t>
  </si>
  <si>
    <t>POS. P044</t>
  </si>
  <si>
    <t>'A128361</t>
  </si>
  <si>
    <t>POS. R043</t>
  </si>
  <si>
    <t>POS. W166</t>
  </si>
  <si>
    <t>'A8559</t>
  </si>
  <si>
    <t>POS. E125</t>
  </si>
  <si>
    <t>'A739227</t>
  </si>
  <si>
    <t>POS. E126</t>
  </si>
  <si>
    <t>Muelles (resortes)</t>
  </si>
  <si>
    <t>MUELLE AJUSTE AXIAL, REINTJES, WAF0743L</t>
  </si>
  <si>
    <t>'A69302</t>
  </si>
  <si>
    <t>MUELLE AJUSTE AXIAL</t>
  </si>
  <si>
    <t>POS. E203</t>
  </si>
  <si>
    <t>'A8028</t>
  </si>
  <si>
    <t>POS. P022</t>
  </si>
  <si>
    <t>POS. W007</t>
  </si>
  <si>
    <t>POS. W179</t>
  </si>
  <si>
    <t>Arandelas De Muelle Y Demas De Seguridad, De Fundicion, Hierro O Acero</t>
  </si>
  <si>
    <t>POS. G281</t>
  </si>
  <si>
    <t>'A12866</t>
  </si>
  <si>
    <t>POS. R105</t>
  </si>
  <si>
    <t>'A969966</t>
  </si>
  <si>
    <t>POS. E219</t>
  </si>
  <si>
    <t>CASQUILLO, REINTJES, WAF0743L</t>
  </si>
  <si>
    <t>'A93351</t>
  </si>
  <si>
    <t>CASQUILLO</t>
  </si>
  <si>
    <t>POS. P032</t>
  </si>
  <si>
    <t>Bolas, Rodillos Y Agujas, De Rodamiento</t>
  </si>
  <si>
    <t>BOLA DE VALVULA DE RETROCESO, REINTJES, WAF0743L</t>
  </si>
  <si>
    <t>'A11622</t>
  </si>
  <si>
    <t>BOLA DE VALVULA DE RETROCESO</t>
  </si>
  <si>
    <t>POS. V238</t>
  </si>
  <si>
    <t>DISCO EMBRAGUE EXTERIOR, REINTJES, WAF0743L</t>
  </si>
  <si>
    <t>'A797219</t>
  </si>
  <si>
    <t>DISCO EMBRAGUE EXTERIOR</t>
  </si>
  <si>
    <t>POS. K023</t>
  </si>
  <si>
    <t>BULON ROSCADO, REINTJES, WAF0743L</t>
  </si>
  <si>
    <t>'A360872</t>
  </si>
  <si>
    <t>BULON ROSCADO</t>
  </si>
  <si>
    <t>POS. K005</t>
  </si>
  <si>
    <t>DORTMUND, ALEMANIA; DEDTM</t>
  </si>
  <si>
    <t>Demas Partes De Organos Mecanicos De La Partida 84.83</t>
  </si>
  <si>
    <t>Membrana de acoplamiento, VULKAN, RATO- S</t>
  </si>
  <si>
    <t>Membrana de acoplamiento</t>
  </si>
  <si>
    <t>USO:Acoplar componentes</t>
  </si>
  <si>
    <t>2G25G0001M RATO-S 25 MEMBRANE ASSEMBLY NEW DESIGN</t>
  </si>
  <si>
    <t>RATO- S</t>
  </si>
  <si>
    <t>ELEMENTO DE ACOPLE, VULKAN, G1621</t>
  </si>
  <si>
    <t>EG1621A002</t>
  </si>
  <si>
    <t>THE COMPONENTS OF THE SCOPE OF SUPPLY HAVE A BALANCING QUALITY ACCORDING TO DIN/ISO 21940-</t>
  </si>
  <si>
    <t>ELEMENTO DE ACOPLE RATO 1621</t>
  </si>
  <si>
    <t>04547272551</t>
  </si>
  <si>
    <t>'FRA000578168</t>
  </si>
  <si>
    <t>ELEMENTO DE ACOPLE, VULKAN, G2511</t>
  </si>
  <si>
    <t>EG2511A002-K</t>
  </si>
  <si>
    <t>ELEMENTO DE ACOPLE RATO 2511</t>
  </si>
  <si>
    <t>KIT DE SELLOS, S/M, 61258-000</t>
  </si>
  <si>
    <t>MOTOR 2K</t>
  </si>
  <si>
    <t>61258-000</t>
  </si>
  <si>
    <t>014294949</t>
  </si>
  <si>
    <t>CARTUCHO, NORDFLUID, 45-185</t>
  </si>
  <si>
    <t>CARTUCHOS PARA MOTORES OLEOHIDRAULICOS</t>
  </si>
  <si>
    <t>45-185</t>
  </si>
  <si>
    <t>KIT DE SELLOS, SAI, GM2 250</t>
  </si>
  <si>
    <t>'ISA0075</t>
  </si>
  <si>
    <t>SAI</t>
  </si>
  <si>
    <t>GM2 250</t>
  </si>
  <si>
    <t>EJES, SAI, GM3 1000</t>
  </si>
  <si>
    <t>GM3 1000 8GP</t>
  </si>
  <si>
    <t>1SA7801</t>
  </si>
  <si>
    <t>EJE PARA MOTORES SAI</t>
  </si>
  <si>
    <t>GM3 1000</t>
  </si>
  <si>
    <t>GENOVA, ITALIA; ITGOA</t>
  </si>
  <si>
    <t>MOTOR OLEOHIDRAULICO, SAI, GM3A 700</t>
  </si>
  <si>
    <t>GM3A-700-8EGXT-D47 INTB30</t>
  </si>
  <si>
    <t>1SA0070</t>
  </si>
  <si>
    <t>MOTOR OLEOHIDRAULICO DE USO EN LA INDUSTRIA Y LA PESCA</t>
  </si>
  <si>
    <t>GM3A 700</t>
  </si>
  <si>
    <t>CASE</t>
  </si>
  <si>
    <t>COSCO SHIPPING LINES (PERU) S.A</t>
  </si>
  <si>
    <t>'HLCUGOA240914672</t>
  </si>
  <si>
    <t>24620990-H001</t>
  </si>
  <si>
    <t>COSCO SHIPPING VOLGA</t>
  </si>
  <si>
    <t>MOTOR OLEOHIDRAULICO, SAI, GM4 1000</t>
  </si>
  <si>
    <t>GM4-1000 8G D90 (0054100031) MOTOR</t>
  </si>
  <si>
    <t>1SA7124</t>
  </si>
  <si>
    <t>GM4 1000</t>
  </si>
  <si>
    <t>Elemento de acople, VULKAN, Vulastik</t>
  </si>
  <si>
    <t>Acoplar elementos</t>
  </si>
  <si>
    <t>2X3412A004</t>
  </si>
  <si>
    <t>CARTUCHO IMPULSOR DE CAUDAL FLUIDYNE VS24-59352-0</t>
  </si>
  <si>
    <t>CARTUCHO IMPULSOR DE CAUDAL</t>
  </si>
  <si>
    <t>IMPULSOR DE GALONAJE</t>
  </si>
  <si>
    <t>VS24-59352-0</t>
  </si>
  <si>
    <t>FLUIDYNE</t>
  </si>
  <si>
    <t>KIT DE SELLOS FLUIDYNE V920072</t>
  </si>
  <si>
    <t>'V920072</t>
  </si>
  <si>
    <t>CARTUCHO IMPULSOR DE CAUDAL FLUIDYNE VS24-40375-0</t>
  </si>
  <si>
    <t>VS24-40375-0</t>
  </si>
  <si>
    <t>KIT DE SELLOS FLUIDYNE V923548</t>
  </si>
  <si>
    <t>'V923548</t>
  </si>
  <si>
    <t>NORUEGA</t>
  </si>
  <si>
    <t>ANTWERPEN, BELGICA; BEANR</t>
  </si>
  <si>
    <t>SLEWING RING, MACGREGOR, S/M</t>
  </si>
  <si>
    <t>07220015</t>
  </si>
  <si>
    <t>ANILLO GIRATORIO V41 0589 004</t>
  </si>
  <si>
    <t>SLEWING RING</t>
  </si>
  <si>
    <t>MACGREGOR</t>
  </si>
  <si>
    <t>IAN TAYLOR AGENCIAS S.A.C.</t>
  </si>
  <si>
    <t>DP WORLD LOGISTICS S.R.L.</t>
  </si>
  <si>
    <t>'HLCURTM241031110</t>
  </si>
  <si>
    <t>34097755-A</t>
  </si>
  <si>
    <t>CMA CGM CARL ANTOINE</t>
  </si>
  <si>
    <t>07220014</t>
  </si>
  <si>
    <t>ANILLO GIRATORIO V42 1260</t>
  </si>
  <si>
    <t>KIT M PARTS SLEWING RING, MACGREGOR, S/M</t>
  </si>
  <si>
    <t>05155317</t>
  </si>
  <si>
    <t>KIT DE PIEZAS DE ANILLO GIRATORIO</t>
  </si>
  <si>
    <t>KIT M PARTS SLEWING RING</t>
  </si>
  <si>
    <t>05155325</t>
  </si>
  <si>
    <t>MILANO-LINATE APT, ITALIA; ITLIN</t>
  </si>
  <si>
    <t>BOCINA , NORDFLUID, S/M</t>
  </si>
  <si>
    <t>D47 0140145087 ROTARY SUBASSEMBLY D47</t>
  </si>
  <si>
    <t>1SA7804</t>
  </si>
  <si>
    <t>BOCINA DE BRONCE</t>
  </si>
  <si>
    <t>BOCINA</t>
  </si>
  <si>
    <t>014295771</t>
  </si>
  <si>
    <t>FILTROS, NORDFLUID, S/M</t>
  </si>
  <si>
    <t>370L222A</t>
  </si>
  <si>
    <t>FILTROS PARA MOTORES OLEOHIDRAULICOS</t>
  </si>
  <si>
    <t>BOCINA, NORDFLUID, S/M</t>
  </si>
  <si>
    <t>0140047183 PREM.DIS.D47 FL.SAE1X CONT.MECC</t>
  </si>
  <si>
    <t>1SA0029</t>
  </si>
  <si>
    <t>KIT DE SELLOS, FLUIDYNE, VS14-29879-0</t>
  </si>
  <si>
    <t>PARA SELLADO INTERIOR DE MOTORES OLEOHIDRAULICOS</t>
  </si>
  <si>
    <t>VS14-29879-0</t>
  </si>
  <si>
    <t>KIT DE SELLOS, FLUIDYNE, V24-10219-0</t>
  </si>
  <si>
    <t>PARA SELLADO INTERIOR DE BOMBAS OLEOHIDRAULICOS</t>
  </si>
  <si>
    <t>V24-10219-0</t>
  </si>
  <si>
    <t>KIT DE SELLOS, FLUIDYNE, V920072</t>
  </si>
  <si>
    <t>Demas Motores Neumaticos, Excepto Con Movimiento Rectilineo (Embolo)</t>
  </si>
  <si>
    <t>MOTOR OLEOHIDRAULICO, FLUIDYNE, MFB10UY31</t>
  </si>
  <si>
    <t>MOVIMIENTO DE EQUIPOS</t>
  </si>
  <si>
    <t>'WF800133</t>
  </si>
  <si>
    <t>MFB10UY31</t>
  </si>
  <si>
    <t>CARTUCHO DE MOTOR, FLUIDYNE, 923109</t>
  </si>
  <si>
    <t>CARTUCHO DE MOTOR OLEOHIDRAULICO</t>
  </si>
  <si>
    <t>IMPULSOR DE ACEITE OLEOHIDRAULICO</t>
  </si>
  <si>
    <t>'WF923109</t>
  </si>
  <si>
    <t>ELEMENTO DE ACOPLE PARA USO EN EMBARCACIONES</t>
  </si>
  <si>
    <t>ACOPLES, VULKAN, RATO-DS 3115-2201</t>
  </si>
  <si>
    <t>RATO-DS 3115-2201 CPLG PLT BO</t>
  </si>
  <si>
    <t>1A31154526</t>
  </si>
  <si>
    <t>ACOPLES</t>
  </si>
  <si>
    <t>RATO-DS 3115-2201</t>
  </si>
  <si>
    <t>WEST CHESTERFIELD, ESTADOS UNIDOS; USWCF</t>
  </si>
  <si>
    <t>Demas Bombas Volumetricas Alternativas</t>
  </si>
  <si>
    <t>BOMBA OLEOHIDRAULICA, METARIS, T6EDM</t>
  </si>
  <si>
    <t>USO:BOMBEO</t>
  </si>
  <si>
    <t>D188480A/024-50585 T6EDM-066-B42-3R-00-C1</t>
  </si>
  <si>
    <t>T6EDM</t>
  </si>
  <si>
    <t>CAJA REDUCTORA, COTTA, SR2A-22</t>
  </si>
  <si>
    <t>COTTA SR2A-22</t>
  </si>
  <si>
    <t>PARA USO MARINO</t>
  </si>
  <si>
    <t>CAJA REDUCTORA</t>
  </si>
  <si>
    <t>COTTA</t>
  </si>
  <si>
    <t>SR2A-22</t>
  </si>
  <si>
    <t>COTTA TRANSMISSION COMPANY LLC</t>
  </si>
  <si>
    <t>CARTUCHOS DE 66 GPM PARA BOMBAS T6EC</t>
  </si>
  <si>
    <t>VS24-40383</t>
  </si>
  <si>
    <t>CARTUCHO, VELJAN, VS24-40383</t>
  </si>
  <si>
    <t>KIT DE SELLOS PARA MOTORES M4C</t>
  </si>
  <si>
    <t>COMPONENTE DE REPUESTO PARA MOTOR OLEOHIDRAULICO</t>
  </si>
  <si>
    <t>KIT DE SELLOS, VELJAN, VS14-29879-0</t>
  </si>
  <si>
    <t>EJES PARA BOMBAS TE6ED</t>
  </si>
  <si>
    <t>VS14-28180</t>
  </si>
  <si>
    <t>EJES, VELJAN, VS14-28180</t>
  </si>
  <si>
    <t>BOMBA DOBLE DE 66 42 GPM</t>
  </si>
  <si>
    <t>VT6ED-66 42 1R00 B1</t>
  </si>
  <si>
    <t>BOMBA DOBLE</t>
  </si>
  <si>
    <t>VT6ED-066-056</t>
  </si>
  <si>
    <t>BOMBA DOBLE, VELJAN, VT6ED-66 42 1R00 B1</t>
  </si>
  <si>
    <t>CARTUCHOS DE 43GPM</t>
  </si>
  <si>
    <t>CARTUCHOS</t>
  </si>
  <si>
    <t>CARTUCHOS, VELJAN, VS24-10228</t>
  </si>
  <si>
    <t>MOTORES OLEOHIDRAULICOS M4C</t>
  </si>
  <si>
    <t>M4C</t>
  </si>
  <si>
    <t>MOTORES OLEOHIDRAULICOS, VELJAN, M4C</t>
  </si>
  <si>
    <t>VERDE</t>
  </si>
  <si>
    <t>2025-30756</t>
  </si>
  <si>
    <t>DHL EXPRESS PERU S.A.C.</t>
  </si>
  <si>
    <t>DHL AERO EXPRESO S.A. SUCURSAL DEL PE</t>
  </si>
  <si>
    <t>NO DISPONIBLE</t>
  </si>
  <si>
    <t>DV-206676</t>
  </si>
  <si>
    <t>KOCSIS</t>
  </si>
  <si>
    <t>PINON DE ARRCADOR</t>
  </si>
  <si>
    <t>PiNon de Arrancador Manual</t>
  </si>
  <si>
    <t>PINON DE ARRCADOR. KOCSIS. DV-206676</t>
  </si>
  <si>
    <t>B1-12D2150-3A200</t>
  </si>
  <si>
    <t>ARRANCADOR HIDRAULICO</t>
  </si>
  <si>
    <t>Arrancador de sistemas oleohidraulicos</t>
  </si>
  <si>
    <t>ARRANCADOR HIDRAULICO. KOCSIS. B1-12D2150-3A200</t>
  </si>
  <si>
    <t>25-21299</t>
  </si>
  <si>
    <t>ATTICA HYDRAULIC</t>
  </si>
  <si>
    <t>VALVULAS DE ALIVIO</t>
  </si>
  <si>
    <t>VR5V085</t>
  </si>
  <si>
    <t>VR5V0851552A1</t>
  </si>
  <si>
    <t>VALVULA DE ALIVIO, VELJAN, VR5V085</t>
  </si>
  <si>
    <t>MSC C.MONTAINE</t>
  </si>
  <si>
    <t>25620959-H001</t>
  </si>
  <si>
    <t>'MEDUGK665040</t>
  </si>
  <si>
    <t>105-1001</t>
  </si>
  <si>
    <t>CHARLYNN</t>
  </si>
  <si>
    <t>105-1001-006</t>
  </si>
  <si>
    <t>M02049AB03AA0100010000000AAAAF</t>
  </si>
  <si>
    <t>MOTORES OLEOHIDRAULICOS, CHARLYNN, 105-1001</t>
  </si>
  <si>
    <t>CARTUCHO DE VALVULA</t>
  </si>
  <si>
    <t>OD 1562</t>
  </si>
  <si>
    <t>REXROTH</t>
  </si>
  <si>
    <t>'R930066964</t>
  </si>
  <si>
    <t>OD150621A000000 VEI-N0-16G-A-06-0000</t>
  </si>
  <si>
    <t>CARTUCHO DE VALVULA, REXROTH, OD 1562</t>
  </si>
  <si>
    <t>CARTUCHO DE BOMBA T6E DE 66GPM</t>
  </si>
  <si>
    <t>T6E</t>
  </si>
  <si>
    <t>CARTUCHO DE BOMBA</t>
  </si>
  <si>
    <t>T6E*M 066</t>
  </si>
  <si>
    <t>CARTUCHO DE BOMBA, FLUIDYNE, T6E</t>
  </si>
  <si>
    <t>CARTUCHO PARA BOMBAS T6E DE 85 GMP</t>
  </si>
  <si>
    <t>T6E* 085</t>
  </si>
  <si>
    <t>CARTUCHOS, FLUIDYNE, T6E</t>
  </si>
  <si>
    <t>KIT DE SELLOS PARA MOTORES 6K</t>
  </si>
  <si>
    <t>61238-000</t>
  </si>
  <si>
    <t>KIT DE SELLOS, CHARLYNN, 61238-000</t>
  </si>
  <si>
    <t>BOBINA</t>
  </si>
  <si>
    <t>'R901393577</t>
  </si>
  <si>
    <t>COIL OD02360130OC00-36-K4</t>
  </si>
  <si>
    <t>BOBINA, REXROTH, OD2360</t>
  </si>
  <si>
    <t>BOMBAS V20 DE 11GPM</t>
  </si>
  <si>
    <t>BOMBA</t>
  </si>
  <si>
    <t>V201P11P1C11R</t>
  </si>
  <si>
    <t>BOMBA, FLUIDYNE, V20</t>
  </si>
  <si>
    <t>BOMBAS V20 DE 8GPM</t>
  </si>
  <si>
    <t>V201P8P38C11R</t>
  </si>
  <si>
    <t>EJES PARA BOMBAS V20</t>
  </si>
  <si>
    <t>V20 SHAFT #1 KEYED</t>
  </si>
  <si>
    <t>EJES, FLUIDYNE, V20</t>
  </si>
  <si>
    <t>'R93400</t>
  </si>
  <si>
    <t>'R934001563</t>
  </si>
  <si>
    <t>R934001563-BLOCC FIL 1</t>
  </si>
  <si>
    <t>VALVULA, REXROTH, R93400</t>
  </si>
  <si>
    <t>GM4-1000 8GB D90</t>
  </si>
  <si>
    <t>MOTORES OLEOHIDRAULICOS, SAI, GM4 1000</t>
  </si>
  <si>
    <t>KIT DE SELLOS PARA BOMBA V10</t>
  </si>
  <si>
    <t>'V10</t>
  </si>
  <si>
    <t>KIT DE SELLOS, FLUIDYNE, V10</t>
  </si>
  <si>
    <t>DANFOSS</t>
  </si>
  <si>
    <t>OMR X200</t>
  </si>
  <si>
    <t>MOTORES OLEOHIDRAULICOS, DANFOSS, OMR200</t>
  </si>
  <si>
    <t>POLONIA</t>
  </si>
  <si>
    <t>KIT DE SELLOS PARA BOMBA V20</t>
  </si>
  <si>
    <t>V20/F/P</t>
  </si>
  <si>
    <t>KIT DE SELLOS, FLUIDYNE, V20</t>
  </si>
  <si>
    <t>015294770</t>
  </si>
  <si>
    <t>VALVULA OLEOHIDRAULICA DE TRIPLE SECCION CON PALANCA DE MANDO</t>
  </si>
  <si>
    <t>HC.RCM/3</t>
  </si>
  <si>
    <t>'JHC1022</t>
  </si>
  <si>
    <t>VALVULA OLEOHIDRAULICA, FLUIDEA, HC.RCM/3</t>
  </si>
  <si>
    <t>VALVULA OLEOHIDRAULICA DE UNA SECCION CON PALANCA DE MANDO</t>
  </si>
  <si>
    <t>JH2/01</t>
  </si>
  <si>
    <t>VALVULA OLEOHIDRAULICA, FLUIDEA, JH2/01</t>
  </si>
  <si>
    <t>CARTUCHO DE BOMBA T6ED DE 42 GPM</t>
  </si>
  <si>
    <t>T6ED 042</t>
  </si>
  <si>
    <t>CARTUCHO DE BOMBA, FLUIDYNE, T6ED</t>
  </si>
  <si>
    <t>GM2 420</t>
  </si>
  <si>
    <t>1SA01658</t>
  </si>
  <si>
    <t>GM2 420 8H D40</t>
  </si>
  <si>
    <t>MOTORES OLEOHIDRAULICOS, SAI, GM2 420</t>
  </si>
  <si>
    <t>BOMBAS V20 DE 13GPM CON EJE ESTRIADO</t>
  </si>
  <si>
    <t>V201P13P1C11R</t>
  </si>
  <si>
    <t>25M</t>
  </si>
  <si>
    <t>25M55A1C20</t>
  </si>
  <si>
    <t>MOTOR OLEOHIDRAULICO, FLUIDYNE, 25M</t>
  </si>
  <si>
    <t>BOMBAS V10 DE 6GPM</t>
  </si>
  <si>
    <t>V1011P6P1C20R</t>
  </si>
  <si>
    <t>BOMBA, FLUIDYNE, V10</t>
  </si>
  <si>
    <t>CARTUCHO PARA BOMBAS DE 22GPM</t>
  </si>
  <si>
    <t>T6CC</t>
  </si>
  <si>
    <t>T6CC B22</t>
  </si>
  <si>
    <t>CARTUCHOS, FLUIDYNE, T6CC</t>
  </si>
  <si>
    <t>PAGO AL CREDITO 30 DIAS NETO A PARTIR DE LA FECHA DE FACTURA</t>
  </si>
  <si>
    <t>2X40120004</t>
  </si>
  <si>
    <t>ELEMENTO DE ACOPLE, VULKAN, VL4012</t>
  </si>
  <si>
    <t>KIT DE SELLOS PARA MOTORES 4K</t>
  </si>
  <si>
    <t>61235-000</t>
  </si>
  <si>
    <t>KIT DE SELLOS, CHARLYNN, 61235-000</t>
  </si>
  <si>
    <t>KIT DE SELLOS PARA MOTORES</t>
  </si>
  <si>
    <t>GM5 1300</t>
  </si>
  <si>
    <t>1SA7808</t>
  </si>
  <si>
    <t>KIT DE SELLOS, SAI, GM5 1300</t>
  </si>
  <si>
    <t>TAPAS DE ALINEADORES</t>
  </si>
  <si>
    <t>CD3 SL</t>
  </si>
  <si>
    <t>PARA MOTOR</t>
  </si>
  <si>
    <t>CD3 SLIMLINE TOP RING 10MM S355 ANTI-CORROSION ENHANCED</t>
  </si>
  <si>
    <t>TAPAS DE ALINEADORES, VULKAN, CD3 SL</t>
  </si>
  <si>
    <t>Demas Guarniciones, Herrajes Y Articulos Similares, De Metales Comunes, .Excepto Para Edificios Y Muebles</t>
  </si>
  <si>
    <t>PAISES BAJOS</t>
  </si>
  <si>
    <t>CR OCEAN AIR S.A.C</t>
  </si>
  <si>
    <t>'RR250808068</t>
  </si>
  <si>
    <t>EJE</t>
  </si>
  <si>
    <t>CODE:VS14-28180-0</t>
  </si>
  <si>
    <t>T6ED SHAFT #3 SPLINE ASSY SAE C - ALSO T7ED</t>
  </si>
  <si>
    <t>SHAFT, VELJAN, VS14-28180</t>
  </si>
  <si>
    <t>ROJO</t>
  </si>
  <si>
    <t>015294094</t>
  </si>
  <si>
    <t>SOPORTE PARA MOTOR DIESEL</t>
  </si>
  <si>
    <t>T90 HA DS 45 MOUNT REPLACES 03252T90HADS45</t>
  </si>
  <si>
    <t>105-02-004-22-000</t>
  </si>
  <si>
    <t>SOPORTE PARA MOTOR DIESEL, VULKAN, S/M</t>
  </si>
  <si>
    <t>CODE: WF820003</t>
  </si>
  <si>
    <t>V101P4P1C20R</t>
  </si>
  <si>
    <t>BOMBA OLEOHIDRAULICA, FLUIDYNE, 820003</t>
  </si>
  <si>
    <t>X-PRESS MOY</t>
  </si>
  <si>
    <t>PEVCLL09493T</t>
  </si>
  <si>
    <t>TRABAJOS MARITIMOS S.A.</t>
  </si>
  <si>
    <t>1F54145749,PAGO AL CREDITO 30 DIAS NETO A PARTIR DE LA FECHA DE EMISION DE LA FACTURA</t>
  </si>
  <si>
    <t>PARA USO EN MOTORES MARINOS</t>
  </si>
  <si>
    <t>VKF 5414-4111/18 CPLG</t>
  </si>
  <si>
    <t>ACOPLES, VULKAN, VULKARDAN 5414-4111</t>
  </si>
  <si>
    <t>CARTUCHOS IMPULSORES</t>
  </si>
  <si>
    <t>CODE: VS24-40383-0</t>
  </si>
  <si>
    <t>T6E*M 066 CART KIT CW FRONT</t>
  </si>
  <si>
    <t>CART KIT, VELJAN, VS24-40383</t>
  </si>
  <si>
    <t>CODE: V014-27081-0</t>
  </si>
  <si>
    <t>M4C 0431N00A102</t>
  </si>
  <si>
    <t>MOTORES OLEOHIDRAULICOS, VELJAN, V014-27081-0</t>
  </si>
  <si>
    <t>CARTUCHO IMPULSOR</t>
  </si>
  <si>
    <t>CODE: WF923109</t>
  </si>
  <si>
    <t>45M185 CART KIT</t>
  </si>
  <si>
    <t>CART KIT, FLUIDYNE, 923109</t>
  </si>
  <si>
    <t>ALINEADORES</t>
  </si>
  <si>
    <t>CD3 SLIMLINE S355 76 X 28 X 25 (ACE)</t>
  </si>
  <si>
    <t>ALINEADORES, VULKAN, CD3 SL</t>
  </si>
  <si>
    <t>CD4 SL</t>
  </si>
  <si>
    <t>PAGO AL CREDITO 30 D?AS A PARTIR DE LA FECHA DE EMISION DE LA FACTURA</t>
  </si>
  <si>
    <t>PARA MOTORES MARINOS</t>
  </si>
  <si>
    <t>CD4 SLIMLINE S355 51 X 17 X 34 (ACE)</t>
  </si>
  <si>
    <t>ALINEADORES, VULKAN, CD4 SL</t>
  </si>
  <si>
    <t>PAGO A CREDITO 30 DIAS A PARTIR DE LA FECHA DE EMISION DE FACTURA</t>
  </si>
  <si>
    <t>T90 HA DS 55 MOUNT REPLACES 03252T90HADS55</t>
  </si>
  <si>
    <t>105-02-004-24-000</t>
  </si>
  <si>
    <t>CODE: WF289084</t>
  </si>
  <si>
    <t>4535V(Q) SHAFT #11 SPLINED</t>
  </si>
  <si>
    <t>SHAFT, FLUIDYNE, 289084</t>
  </si>
  <si>
    <t>CD4 SLIMLINE TOP RING 10MM S355 ANTI-CORROSION ENHANCED</t>
  </si>
  <si>
    <t>TAPAS DE ALINEADORES, VULKAN, CD4 SL</t>
  </si>
  <si>
    <t>1F54145750</t>
  </si>
  <si>
    <t>VKF 5414-4110/18</t>
  </si>
  <si>
    <t>ACOPLES, VULKAN, VULKARDAN 5414-4110</t>
  </si>
  <si>
    <t>CODE: VS24-10763-0</t>
  </si>
  <si>
    <t>T6CC 022 CART KIT CW REAR</t>
  </si>
  <si>
    <t>CART KIT, VELJAN, VS24-10763-0</t>
  </si>
  <si>
    <t>HYDRAULEX GLOBAL</t>
  </si>
  <si>
    <t>COMPONENTE DE REPUESTO PARA BOMBA OLEOHIDRAULICA</t>
  </si>
  <si>
    <t>KIT DE SELLOS, FLUIDYNE, VS24-10219-0</t>
  </si>
  <si>
    <t>BOX ENDURANCE</t>
  </si>
  <si>
    <t>'ZIMUMIA93304402</t>
  </si>
  <si>
    <t>COSMOS AGENCIA MARITIMA SAC</t>
  </si>
  <si>
    <t>RYAN HYDRAULIC SERVICE INC</t>
  </si>
  <si>
    <t>WINCH PULLMASTER S/N</t>
  </si>
  <si>
    <t>12-0701-00119. 0121. 0123</t>
  </si>
  <si>
    <t>WINCHE, PULLMASTER, M25-3-86-3</t>
  </si>
  <si>
    <t>PORT EVERGLADES, ESTADOS UNIDOS; USPEF</t>
  </si>
  <si>
    <t>KIT DE SELLOS PARA MOTOR M4C</t>
  </si>
  <si>
    <t>KIT DE SELLOS PARA BOMBA T6CR</t>
  </si>
  <si>
    <t>KIT DE SELLOS, FLUIDYNE, VS24-26387-0</t>
  </si>
  <si>
    <t>CARTUCHO DE BOMBA T6EDM</t>
  </si>
  <si>
    <t>CARTUCHO DE BOMBA, FLUIDYNE, VS24-40342-0</t>
  </si>
  <si>
    <t>12-0274-00237</t>
  </si>
  <si>
    <t>WINCHE, PULLMASTER, PL5-12-210-2</t>
  </si>
  <si>
    <t>12-1202-342</t>
  </si>
  <si>
    <t>WINCHE, PULLMASTER, H8-3-30-1</t>
  </si>
  <si>
    <t>HANSA HORNEBURG</t>
  </si>
  <si>
    <t>SMLU8593122A</t>
  </si>
  <si>
    <t>BOMBAS 4535VQ DE 66/38 GPM</t>
  </si>
  <si>
    <t>BOMBA, FLUIDYNE, 4535VQ</t>
  </si>
  <si>
    <t>87EAMIA25312801</t>
  </si>
  <si>
    <t>ADL SERVICIOS LOGISTICOS S.A.C.</t>
  </si>
  <si>
    <t>SELLOS</t>
  </si>
  <si>
    <t>GOMA</t>
  </si>
  <si>
    <t>SELLADO INTERNO DE MOTOR</t>
  </si>
  <si>
    <t>METARIS/920021</t>
  </si>
  <si>
    <t>SELLOS, METARIS, 920021</t>
  </si>
  <si>
    <t>Juntas O Empaquetaduras</t>
  </si>
  <si>
    <t>099621</t>
  </si>
  <si>
    <t>CMA CGM JACQUES JOSEPH</t>
  </si>
  <si>
    <t>038125-02110-A</t>
  </si>
  <si>
    <t>'OOLU2760939430</t>
  </si>
  <si>
    <t>IAN TAYLOR PERU S.A.C.</t>
  </si>
  <si>
    <t>ELEMENTOS DE FILTRO PARA ACEITE OLEOHIDRAULICO</t>
  </si>
  <si>
    <t>GFS 3909/C</t>
  </si>
  <si>
    <t>ELEMENTOS DE FILTRO, OIFILTER, GFS 3909</t>
  </si>
  <si>
    <t>KIT DE SELLOS PARA MOTOR</t>
  </si>
  <si>
    <t>METARIS/923157</t>
  </si>
  <si>
    <t>SELLOS, METARIS, 923157</t>
  </si>
  <si>
    <t>S24-10219-0</t>
  </si>
  <si>
    <t>SELLADO INTERNO DE BOMBA</t>
  </si>
  <si>
    <t>METARIS/S24-10219-0</t>
  </si>
  <si>
    <t>SELLOS, METARIS, S24-10219-0</t>
  </si>
  <si>
    <t>NUCLEO DE BOMBEO</t>
  </si>
  <si>
    <t>S24-10228</t>
  </si>
  <si>
    <t>CARTUCHO DE BOMBA OLEOHIDRAULI</t>
  </si>
  <si>
    <t>ACERO Y GOMAS ( SELLOS )</t>
  </si>
  <si>
    <t>NUCLEO DE IMPULSOR DE CAUDAL</t>
  </si>
  <si>
    <t>METARIS/S24-10228</t>
  </si>
  <si>
    <t>CARTUCHO DE BOMBA OLEOHIDRAULICA, METARIS, S24-10228</t>
  </si>
  <si>
    <t>EJE DE BOMBA OLEOHIDRAULICA</t>
  </si>
  <si>
    <t>ACERO</t>
  </si>
  <si>
    <t>EJE  DE BOMBA OLEOHIDRAULICA</t>
  </si>
  <si>
    <t>METARIS/280372</t>
  </si>
  <si>
    <t>EJE, METARIS, 280372</t>
  </si>
  <si>
    <t>Demas Bombas Para Liquidos, Excepto De Inyeccion</t>
  </si>
  <si>
    <t>BOMBA DE 6 GPM</t>
  </si>
  <si>
    <t>BOMBA  DE 6 GPM</t>
  </si>
  <si>
    <t>BOMBEO DE CAUDAL OLEOHIDRAULICO</t>
  </si>
  <si>
    <t>METARIS/372613</t>
  </si>
  <si>
    <t>BOMBA OLEOHIDRAULICA, METARIS, 372613</t>
  </si>
  <si>
    <t>CARTUCHO DE BOMBA DE 72 GPM</t>
  </si>
  <si>
    <t>VS24-40385-0</t>
  </si>
  <si>
    <t>CARTUCHO DE BOMBA, FLUIDYNE, S/M</t>
  </si>
  <si>
    <t>BOMBA OLEOHIDRAULICA 66/42GPM</t>
  </si>
  <si>
    <t>V024-50585-0</t>
  </si>
  <si>
    <t>BOMBA OLEOHIDRAULICA, FLUIDYNE, S/M</t>
  </si>
  <si>
    <t>VS24-10352-0</t>
  </si>
  <si>
    <t>KIT DE SELLOS, FLUIDYNE, S/M</t>
  </si>
  <si>
    <t>CARTUCHO DE MOTOR, FLUIDYNE, 35M-115</t>
  </si>
  <si>
    <t>CARTUCHO DE BOMBA DE 22 GPM</t>
  </si>
  <si>
    <t>VS24-58900-0</t>
  </si>
  <si>
    <t>BOMBAS DE 4 GPM</t>
  </si>
  <si>
    <t>BOMBA, FLUIDYNE, S/M</t>
  </si>
  <si>
    <t>CRATE</t>
  </si>
  <si>
    <t>ELEMENTO DE ACOPLE, VULKAN, DS3115</t>
  </si>
  <si>
    <t>BOMBAS DE 6 GPM</t>
  </si>
  <si>
    <t>VALVULAS DE SEGURIDAD</t>
  </si>
  <si>
    <t>VALVULA, FLUIDYNE, S/M</t>
  </si>
  <si>
    <t>PARTES DE CARTUCHO DE BOMBA</t>
  </si>
  <si>
    <t>CARTUCHOS, FLUIDYNE, S/M</t>
  </si>
  <si>
    <t>CARTUCHO DE 13 GPM</t>
  </si>
  <si>
    <t>WF421243R</t>
  </si>
  <si>
    <t>CMA CGM ESTELLE</t>
  </si>
  <si>
    <t>QC250783-A</t>
  </si>
  <si>
    <t>'PMA0172512</t>
  </si>
  <si>
    <t>RM5-1300</t>
  </si>
  <si>
    <t>INTERMOT</t>
  </si>
  <si>
    <t>RM5-1300B D90</t>
  </si>
  <si>
    <t>MOTOR OLEOHIDRAULICO, INTERMOT, RM5-1300</t>
  </si>
  <si>
    <t>MANZANILLO, PANAMA; PAMIT</t>
  </si>
  <si>
    <t>PANAMA</t>
  </si>
  <si>
    <t>COSCO SHIPPING SEINE</t>
  </si>
  <si>
    <t>25620237-H001</t>
  </si>
  <si>
    <t>'GEN1846452</t>
  </si>
  <si>
    <t>112-1068</t>
  </si>
  <si>
    <t>CHAR LYNN</t>
  </si>
  <si>
    <t>112-1068-006</t>
  </si>
  <si>
    <t>MOTOR OLEOHIDRAULICO, CHAR LYNN, 112-1068</t>
  </si>
  <si>
    <t>DISTRIBUIDORES D90</t>
  </si>
  <si>
    <t>DISTRIBUIDORES</t>
  </si>
  <si>
    <t>1SA7803</t>
  </si>
  <si>
    <t>DISTRIBUIDORES, SAI, D90</t>
  </si>
  <si>
    <t>GM5A</t>
  </si>
  <si>
    <t>1SA7782</t>
  </si>
  <si>
    <t>GM5A-1300-8EGX-D90</t>
  </si>
  <si>
    <t>MOTORES OLEOHIDRAULICOS, SAI, GM5A</t>
  </si>
  <si>
    <t>KIT DE SELLOS 6K</t>
  </si>
  <si>
    <t>61237-000</t>
  </si>
  <si>
    <t>KIT DE SELLOS, CHAR LYNN, 61237</t>
  </si>
  <si>
    <t>KIT DE SELLOS GS4-700 D90</t>
  </si>
  <si>
    <t>1SA7784</t>
  </si>
  <si>
    <t>KIT DE SELLOS, SAI, GS4</t>
  </si>
  <si>
    <t>MOTORES OLEOHIDRAULICOS, SAI, GM3</t>
  </si>
  <si>
    <t>AMORTIGUADOR DE MOTOR MOUNT</t>
  </si>
  <si>
    <t>MOUNT VDM 13604 HA 65SH</t>
  </si>
  <si>
    <t>AMORTIGUADOR, VULKAN, S/M</t>
  </si>
  <si>
    <t>078727</t>
  </si>
  <si>
    <t>RATO S</t>
  </si>
  <si>
    <t>ACOPLEAR EQUIPOS</t>
  </si>
  <si>
    <t>ELEMENTO DE ACOPLE, VULKAN, RATO S</t>
  </si>
  <si>
    <t>Demas Manufacturas De Caucho Vulcanizado Sin Endurecer. (P. Ej: Letras, Cifras Y Similares Para Tampones)</t>
  </si>
  <si>
    <t>070141</t>
  </si>
  <si>
    <t>EJES 55 MM</t>
  </si>
  <si>
    <t>1SA0010</t>
  </si>
  <si>
    <t>EJES, SAI, S/M</t>
  </si>
  <si>
    <t>4535VQ</t>
  </si>
  <si>
    <t>Fluidyne</t>
  </si>
  <si>
    <t>Bombeo Aceite Hidraulico</t>
  </si>
  <si>
    <t>BOMBA OLEOHIDRAULICA, Fluidyne, 4535VQ</t>
  </si>
  <si>
    <t>FRASER, ESTADOS UNIDOS; USFZY</t>
  </si>
  <si>
    <t>076615</t>
  </si>
  <si>
    <t>'FRA000887400</t>
  </si>
  <si>
    <t>07402453872</t>
  </si>
  <si>
    <t>VL 3412</t>
  </si>
  <si>
    <t>2X34120018</t>
  </si>
  <si>
    <t>VL 3412 ELEMENT W/O BOSS</t>
  </si>
  <si>
    <t>ELEMENTO DE ACOPLE, VULKAN, VL 3412</t>
  </si>
  <si>
    <t>075866</t>
  </si>
  <si>
    <t>RM4-1000</t>
  </si>
  <si>
    <t>RM4-1000B D90</t>
  </si>
  <si>
    <t>MOTOR OLEOHIDRAULICO, INTERMOT, RM4-1000</t>
  </si>
  <si>
    <t>KIT DE SELLOS 2K</t>
  </si>
  <si>
    <t>KIT DE SELLOS, SAI, S/M</t>
  </si>
  <si>
    <t>112-1066</t>
  </si>
  <si>
    <t>112-1066-0066</t>
  </si>
  <si>
    <t>MOTORES OLEOHIDRAULICOS, SAI, 112-1066</t>
  </si>
  <si>
    <t>EJES ESTRIADOS</t>
  </si>
  <si>
    <t>'WF289084</t>
  </si>
  <si>
    <t>EJES ESTRIADOS, FLUIDYNE, 289084</t>
  </si>
  <si>
    <t>058292</t>
  </si>
  <si>
    <t>CARTRIDGE</t>
  </si>
  <si>
    <t>COMPONENTE</t>
  </si>
  <si>
    <t>COMPONENTE, FLUIDYNE, 45M</t>
  </si>
  <si>
    <t>'WF309405</t>
  </si>
  <si>
    <t>EJES ESTRIADOS, FLUIDYNE, 309405</t>
  </si>
  <si>
    <t>V014-27081-0</t>
  </si>
  <si>
    <t>MOTORES OLEOHIDRAULICOS, FLUIDYNE, M4C</t>
  </si>
  <si>
    <t>BOMBAS</t>
  </si>
  <si>
    <t>'WF820129</t>
  </si>
  <si>
    <t>EJES, FLUIDYNE, VS14-28180</t>
  </si>
  <si>
    <t>EJE CON CHAVETA</t>
  </si>
  <si>
    <t>'WF312153</t>
  </si>
  <si>
    <t>EJE CON CHAVETA, FLUIDYNE, 312153</t>
  </si>
  <si>
    <t>2X3018A006</t>
  </si>
  <si>
    <t>VL 3018</t>
  </si>
  <si>
    <t>USO:ACCESORIO DE ACOPLE , ACOPLAR</t>
  </si>
  <si>
    <t>ELEMENTO DE ACOPLE, VULKAN, VL 3018</t>
  </si>
  <si>
    <t>Otros Articulos Para Usos Tecnicos, De Caucho Vulcanizado Sin Endurecer</t>
  </si>
  <si>
    <t>056998</t>
  </si>
  <si>
    <t>'SNTG25025613</t>
  </si>
  <si>
    <t>KIT DE PIEZAS DE ANILLO GIRATORIO NK-3000</t>
  </si>
  <si>
    <t>KIT M PARTS SLEWING RING REPL</t>
  </si>
  <si>
    <t>COMPONENTES PARA GRUA</t>
  </si>
  <si>
    <t>KIT M PARTS SLEWING RING REPL, MACGREGOR, S/M</t>
  </si>
  <si>
    <t>OSLO, NORUEGA; NOOSL</t>
  </si>
  <si>
    <t>053494</t>
  </si>
  <si>
    <t>KIT DE PIEZAS DE ANILLO GIRATORIO FL-112</t>
  </si>
  <si>
    <t>S24-10352</t>
  </si>
  <si>
    <t>KIT DE SELLO</t>
  </si>
  <si>
    <t>KIT DE SELLO, METARIS, S24-10352</t>
  </si>
  <si>
    <t>039028</t>
  </si>
  <si>
    <t>DHL EXPRESS PERU S A C</t>
  </si>
  <si>
    <t>Motor Oleohidraulico</t>
  </si>
  <si>
    <t>Accionador</t>
  </si>
  <si>
    <t>Motor Oleohidraulico, Fluidyne, M4C</t>
  </si>
  <si>
    <t>051090</t>
  </si>
  <si>
    <t>Kit de Selloa para motor M4C</t>
  </si>
  <si>
    <t>Kit de Selloa para motor M4C, Fluidyne, VS14-29879</t>
  </si>
  <si>
    <t>VS24-10138-0</t>
  </si>
  <si>
    <t>S24-10138</t>
  </si>
  <si>
    <t>Kit de Sellos para Bomba T6ED</t>
  </si>
  <si>
    <t>Kit de Sellos para Bomba T6ED, Fluidyne, S24-10138</t>
  </si>
  <si>
    <t>Kit de Sellos para bomba 4535V</t>
  </si>
  <si>
    <t>Kit de Sellos para bomba 4535VQ</t>
  </si>
  <si>
    <t>Kit de Sellos para bomba 4535VQ, Fluidyne, 920072</t>
  </si>
  <si>
    <t>Kit de Sellos para bomba 45VQ</t>
  </si>
  <si>
    <t>Kit de Sellos para bomba 45VQ, Fluidyne, 920025</t>
  </si>
  <si>
    <t>TUERCA HEX M22</t>
  </si>
  <si>
    <t>AJUSTE</t>
  </si>
  <si>
    <t>TUERCA HEX  M22</t>
  </si>
  <si>
    <t>TUERCA HEX  M22, VULKAN, M22</t>
  </si>
  <si>
    <t>048425</t>
  </si>
  <si>
    <t>RATO R</t>
  </si>
  <si>
    <t>Membrana ensamble</t>
  </si>
  <si>
    <t>PREENSAMBLE</t>
  </si>
  <si>
    <t>Membrana ensamble, VULKAN, RATO R</t>
  </si>
  <si>
    <t>PERNO HEXAGONAL M22</t>
  </si>
  <si>
    <t>PERNO HEXAGONAL M22, VULKAN, M22</t>
  </si>
  <si>
    <t>ARANDELA</t>
  </si>
  <si>
    <t>ESPACIADOR</t>
  </si>
  <si>
    <t>ARANDELA, VULKAN, M14</t>
  </si>
  <si>
    <t>TUERCA HEX M14</t>
  </si>
  <si>
    <t>TUERCA HEX M14, VULKAN, M14</t>
  </si>
  <si>
    <t>ARANDELA M22</t>
  </si>
  <si>
    <t>ARANDELA M22, VULKAN, M22</t>
  </si>
  <si>
    <t>M14 X 75</t>
  </si>
  <si>
    <t>PERNO HEXAGONAL M14</t>
  </si>
  <si>
    <t>PERNO HEXAGONAL M14, VULKAN, M14 X 75</t>
  </si>
  <si>
    <t>KIT DE SELLO, METARIS, 922733</t>
  </si>
  <si>
    <t>KIT DE SELLO, METARIS, S24-10219-0</t>
  </si>
  <si>
    <t>KIT DE SELLO, METARIS, 920025</t>
  </si>
  <si>
    <t>S24-26387</t>
  </si>
  <si>
    <t>KIT DE SELLO, METARIS, S24-26387</t>
  </si>
  <si>
    <t>KIT DE SELLO, METARIS, 923548</t>
  </si>
  <si>
    <t>ELEMENTO DE ACOPLE PARA USO EN LA INDUSTRIA</t>
  </si>
  <si>
    <t>EG191WA001</t>
  </si>
  <si>
    <t>RATO-S 191W ELEMENT</t>
  </si>
  <si>
    <t>023933</t>
  </si>
  <si>
    <t>M8 -35</t>
  </si>
  <si>
    <t>PERNO HEXAGONAL</t>
  </si>
  <si>
    <t>SUJETAR</t>
  </si>
  <si>
    <t>3G1572040M</t>
  </si>
  <si>
    <t>PERNO HEXAGONAL, VULKAN, M8 -35</t>
  </si>
  <si>
    <t>021505</t>
  </si>
  <si>
    <t>M8 - 10</t>
  </si>
  <si>
    <t>TUERCA HEXAGONAL</t>
  </si>
  <si>
    <t>TUERCA HEXAGONAL, VULKAN, M8 - 10</t>
  </si>
  <si>
    <t>M8 4140</t>
  </si>
  <si>
    <t>ESPACIAR</t>
  </si>
  <si>
    <t>ARANDELAS, VULKAN, M8 4140</t>
  </si>
  <si>
    <t>S-1711</t>
  </si>
  <si>
    <t>ACOPLAR</t>
  </si>
  <si>
    <t>ELEMENTO DE ACOPLE, VULKAN, S-1711</t>
  </si>
  <si>
    <t>LC 4140</t>
  </si>
  <si>
    <t>BOCINAS</t>
  </si>
  <si>
    <t>LC743-13</t>
  </si>
  <si>
    <t>BOCINAS, VULKAN, LC 4140</t>
  </si>
  <si>
    <t>CPT</t>
  </si>
  <si>
    <t>PLATO DIVISOR</t>
  </si>
  <si>
    <t>DIVISOR</t>
  </si>
  <si>
    <t>PLATO DIVISOR, PULLMASTER, 21252</t>
  </si>
  <si>
    <t>Partes Identificables Como Destinadas, Exclusiva O Principalmente, A Las Maquinas O Aparatos De La Partida 84.28, Excepto Para Ascensores, Montacargas</t>
  </si>
  <si>
    <t>HOUSTON - INTERCONTINENTAL, ESTADOS UNIDOS; USIAH</t>
  </si>
  <si>
    <t>CANADA</t>
  </si>
  <si>
    <t>017149</t>
  </si>
  <si>
    <t>SELLADO INTERIOR</t>
  </si>
  <si>
    <t>PLATO DE FRICCION</t>
  </si>
  <si>
    <t>ACCIONAMIENTO</t>
  </si>
  <si>
    <t>PLATO DE FRICCION, PULLMASTER, 25194</t>
  </si>
  <si>
    <t>SEABOARD GENESIS</t>
  </si>
  <si>
    <t>SMLU8428607A</t>
  </si>
  <si>
    <t>HYDRAULEX SALES</t>
  </si>
  <si>
    <t>COMPONENTES DE BOMBAS OLEOHIDRAULICAS</t>
  </si>
  <si>
    <t>S24-40383-0</t>
  </si>
  <si>
    <t>CREDITO 30 DIAS A PARTIR DE LA FECHA DE LA EMISION DE LA FACTURA</t>
  </si>
  <si>
    <t>FS20280A</t>
  </si>
  <si>
    <t>S24-40383-0 CART KIT T6ECM E 066</t>
  </si>
  <si>
    <t>CARTUCHO, METARIS, S24-40383-0</t>
  </si>
  <si>
    <t>045953</t>
  </si>
  <si>
    <t>N-A</t>
  </si>
  <si>
    <t>PORTA RODAJE</t>
  </si>
  <si>
    <t>TAPA RODAMIENTO</t>
  </si>
  <si>
    <t>PORTA RODAJE, TULSA, 41752</t>
  </si>
  <si>
    <t>013644</t>
  </si>
  <si>
    <t>23121G</t>
  </si>
  <si>
    <t>KIT  DE SELLOS</t>
  </si>
  <si>
    <t>KIT  DE SELLOS, PULLMASTER, 23121G</t>
  </si>
  <si>
    <t>23131G</t>
  </si>
  <si>
    <t>KIT  DE SELLOS, PULLMASTER, 23131G</t>
  </si>
  <si>
    <t>KIT  DE SELLOS, PULLMASTER, 23125</t>
  </si>
  <si>
    <t>INCLUYE ACCESORIOS</t>
  </si>
  <si>
    <t>NOZZLERA</t>
  </si>
  <si>
    <t>MECANICPRES</t>
  </si>
  <si>
    <t>PLATILLAS MEDICION</t>
  </si>
  <si>
    <t>MEDICION</t>
  </si>
  <si>
    <t>PLATILLAS MEDICION MECANICPRES NOZZLERA</t>
  </si>
  <si>
    <t>Demas Manufacturas De Hierro O De Acero</t>
  </si>
  <si>
    <t>SANTIAGO, CHILE; CLSCL</t>
  </si>
  <si>
    <t>CHILE</t>
  </si>
  <si>
    <t>012537</t>
  </si>
  <si>
    <t>API REG</t>
  </si>
  <si>
    <t>PLATILLAS MEDICION MECANICPRES API REG</t>
  </si>
  <si>
    <t>CSR2,CSR1, MATRIX</t>
  </si>
  <si>
    <t>PLATILLAS MEDICION MECANICPRES CSR2,CSR1, MATRIX</t>
  </si>
  <si>
    <t>BECO</t>
  </si>
  <si>
    <t>PLATILLAS MEDICION MECANICPRES BECO</t>
  </si>
  <si>
    <t>CT-10-F-30</t>
  </si>
  <si>
    <t>ALIVIO PRESION</t>
  </si>
  <si>
    <t>VALVULA DE ALIVIO, METARIS, CT-10-F-30</t>
  </si>
  <si>
    <t>007288</t>
  </si>
  <si>
    <t>PLATO SEPARADOR KIT 35 VQ</t>
  </si>
  <si>
    <t>PLATOS DESGASTE</t>
  </si>
  <si>
    <t>PLATO SEPARADOR  KIT 35 VQ</t>
  </si>
  <si>
    <t>PLATO SEPARADOR  KIT 35 VQ, METARIS, 923953</t>
  </si>
  <si>
    <t>S24-10387-0</t>
  </si>
  <si>
    <t>COMPONENTE DE IMPULSOR</t>
  </si>
  <si>
    <t>CARTUCHO IMPULSOR, METARIS, S24-10387-0</t>
  </si>
  <si>
    <t>BOMBEO DE CAUDAL</t>
  </si>
  <si>
    <t>BOMBA OLEOHIDRAULICA, METARIS, 238535</t>
  </si>
  <si>
    <t>PLATO SEPARADOR KIT 45 VQ</t>
  </si>
  <si>
    <t>PLATO SEPARADOR  KIT 45 VQ</t>
  </si>
  <si>
    <t>PLATO SEPARADOR  KIT 45 VQ, METARIS, 923954</t>
  </si>
  <si>
    <t>'FRA000734574</t>
  </si>
  <si>
    <t>05713893213</t>
  </si>
  <si>
    <t>SOCIETE AIR FRANCE SUCURSAL EN EL PERU</t>
  </si>
  <si>
    <t>COMPONENTE DE ACOPLE</t>
  </si>
  <si>
    <t>CREDITO A 30 DIAS DESDE EMISION FECHA FACTURA</t>
  </si>
  <si>
    <t>2G1738A001</t>
  </si>
  <si>
    <t>08 MENBRANA DE ACOPLE</t>
  </si>
  <si>
    <t>COMPONENTE DE ACOPLE, VULKAN, RATO1720</t>
  </si>
  <si>
    <t>005823</t>
  </si>
  <si>
    <t>WF374338</t>
  </si>
  <si>
    <t>WF923953</t>
  </si>
  <si>
    <t>WF820008</t>
  </si>
  <si>
    <t>WF820005</t>
  </si>
  <si>
    <t>WF923167</t>
  </si>
  <si>
    <t>WF8103636</t>
  </si>
  <si>
    <t>M25-3-86-3</t>
  </si>
  <si>
    <t>5414-4111</t>
  </si>
  <si>
    <t>VS24-40342-0</t>
  </si>
  <si>
    <t>VDM 13604 HA 65SH</t>
  </si>
  <si>
    <t>V920025</t>
  </si>
  <si>
    <t>V20</t>
  </si>
  <si>
    <t>MHDV20</t>
  </si>
  <si>
    <t>HMB045</t>
  </si>
  <si>
    <t>GS4</t>
  </si>
  <si>
    <t>GM2</t>
  </si>
  <si>
    <t>A550019</t>
  </si>
  <si>
    <t>A338591</t>
  </si>
  <si>
    <t>A054</t>
  </si>
  <si>
    <t>A035</t>
  </si>
  <si>
    <t>G1621</t>
  </si>
  <si>
    <t>G2511</t>
  </si>
  <si>
    <t>V920072</t>
  </si>
  <si>
    <t>V923548</t>
  </si>
  <si>
    <t>RATO1720</t>
  </si>
  <si>
    <t>M22</t>
  </si>
  <si>
    <t>M14</t>
  </si>
  <si>
    <t>GM3</t>
  </si>
  <si>
    <t>D90</t>
  </si>
  <si>
    <t>V10</t>
  </si>
  <si>
    <t>OMR200</t>
  </si>
  <si>
    <t>OD2360</t>
  </si>
  <si>
    <t>A602213</t>
  </si>
  <si>
    <t>A601985</t>
  </si>
  <si>
    <t>NW231132</t>
  </si>
  <si>
    <t>A150460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</si>
</sst>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C3511-875B-4888-9CD4-64ADBDE57CF1}" name="Tabla1" displayName="Tabla1" ref="A1:BL350" totalsRowShown="0" headerRowDxfId="0">
  <autoFilter ref="A1:BL350" xr:uid="{11FC3511-875B-4888-9CD4-64ADBDE57CF1}"/>
  <tableColumns count="64">
    <tableColumn id="1" xr3:uid="{866059E8-7E29-4A56-A15C-9354BB18CC53}" name="DIA"/>
    <tableColumn id="2" xr3:uid="{9A41D984-4517-48B7-A09B-46CC236F7055}" name="MES"/>
    <tableColumn id="3" xr3:uid="{A3B0969D-1B4C-4D90-9D53-4ABD0FA05BCC}" name="AÑO"/>
    <tableColumn id="4" xr3:uid="{985FFE9B-2ADC-4CFD-A375-912CDE61466E}" name="DUA"/>
    <tableColumn id="5" xr3:uid="{03D74977-36AC-4580-B2E0-0857D0FFAD50}" name="SERIE"/>
    <tableColumn id="6" xr3:uid="{C104ED29-7549-486F-A876-0A3766202E27}" name="ADUANA"/>
    <tableColumn id="7" xr3:uid="{C27434DA-D27E-4A11-A507-90BA2CD73373}" name="TIPO DOCUMENTO"/>
    <tableColumn id="8" xr3:uid="{F5247C3B-D45B-422E-9895-937A6135BE86}" name="RUC IMPORTADOR"/>
    <tableColumn id="9" xr3:uid="{4205F277-19E4-46A5-A604-3D19F9A59790}" name="IMPORTADOR"/>
    <tableColumn id="10" xr3:uid="{3C6F6672-D951-4936-8F44-52D0802F687E}" name="DIRECCION"/>
    <tableColumn id="11" xr3:uid="{0C04F48D-A48F-4A82-8012-7F05006A9FE1}" name="DEPARTAMENTO DE IMPORTADOR"/>
    <tableColumn id="12" xr3:uid="{6C92D89C-438A-4B4A-9159-DFEAD0ADC816}" name="ESTADO"/>
    <tableColumn id="13" xr3:uid="{F0F6A87B-B87D-4F33-9838-A45611C750ED}" name="DISTRITO"/>
    <tableColumn id="14" xr3:uid="{0D5CC866-D649-4753-899B-E9D9C50CB1E5}" name="TELEFONO"/>
    <tableColumn id="15" xr3:uid="{7CF3776B-95EB-4976-BA61-A65FB19D4BF4}" name="FAX"/>
    <tableColumn id="16" xr3:uid="{31DD036F-EA75-43F8-A432-862AA95AAF3E}" name="VIA DE TRANSPORTE"/>
    <tableColumn id="17" xr3:uid="{3DAD18D2-4F91-442E-ACDC-2A5725D561B0}" name="BANCO"/>
    <tableColumn id="18" xr3:uid="{3A072379-50B9-43EA-A37B-8E7C2AB102C1}" name="PAIS DE ORIGEN"/>
    <tableColumn id="19" xr3:uid="{BC9DC868-C1D9-4F41-9364-5E3603A6B4E6}" name="PAIS DE ADQUISICION"/>
    <tableColumn id="20" xr3:uid="{6D046970-6AE5-4D2C-A3D4-5B89AEFEA79E}" name="PUERTO DE EMBARQUE"/>
    <tableColumn id="21" xr3:uid="{522169E5-3192-4E26-855A-A02DEAED05CF}" name="PARTIDA ARANCELARIA"/>
    <tableColumn id="22" xr3:uid="{BA37BA39-1616-44B4-8F2B-57E26D328E03}" name="DESCRIPCION ARANCELARIA"/>
    <tableColumn id="23" xr3:uid="{7DD30B9C-012F-4451-9FA3-69255C555964}" name="MERCANCÍA"/>
    <tableColumn id="24" xr3:uid="{0D698A6D-AB49-4DF9-A361-86B0E0DC30E4}" name="DESCRIPCIÓN DE MERCANCÍA 1"/>
    <tableColumn id="25" xr3:uid="{EA630244-19BB-4B3D-97D5-0743375D12B5}" name="DESCRIPCIÓN DE MERCANCÍA 2"/>
    <tableColumn id="26" xr3:uid="{520C4AAE-07DF-4F73-9FAA-544AC78BDABA}" name="DESCRIPCIÓN DE MERCANCÍA 3"/>
    <tableColumn id="27" xr3:uid="{1BEA7A9B-EDFE-4937-B967-3D98B2F5A585}" name="DESCRIPCIÓN DE MERCANCÍA 4"/>
    <tableColumn id="28" xr3:uid="{623F3A70-52D4-44C7-908F-1686FB09B91C}" name="PRODUCTO"/>
    <tableColumn id="29" xr3:uid="{AEFD0484-1CF9-4118-9910-05A72A228109}" name="MARCA"/>
    <tableColumn id="30" xr3:uid="{4D57F06A-8E1D-404B-AB99-EA7E854E5E31}" name="MODELO"/>
    <tableColumn id="31" xr3:uid="{28D1D61F-6134-4191-A1AD-51B744B9C800}" name="CARACTERISTICAS"/>
    <tableColumn id="32" xr3:uid="{0FE89CA9-23A7-4DB6-85B2-46F337F779C1}" name="AÑO FABRICACIÓN"/>
    <tableColumn id="33" xr3:uid="{D943E559-388D-40E6-84C6-0E08D7578823}" name="US$ FOB"/>
    <tableColumn id="34" xr3:uid="{D988229C-1B9A-4754-8265-A1684281541F}" name="US$ FLETE"/>
    <tableColumn id="35" xr3:uid="{07B40199-7449-4ADE-9823-CE6E5A998066}" name="US$ SEGURO"/>
    <tableColumn id="36" xr3:uid="{1A2B05E1-C5A8-46E2-BE92-E1EF4DFC5C58}" name="US$ CIF"/>
    <tableColumn id="37" xr3:uid="{52FC09EE-E537-48D6-8292-04D27CD79BF2}" name="ADVALOREM"/>
    <tableColumn id="38" xr3:uid="{AE354D99-06C5-4934-8217-CA134AE540E0}" name="IGV"/>
    <tableColumn id="39" xr3:uid="{6CEA1AE8-5DB6-4335-96FA-D5BA110B1D52}" name="IPM"/>
    <tableColumn id="40" xr3:uid="{F89D2F65-543E-4855-9C5E-47C22D2414F5}" name="PESO NETO"/>
    <tableColumn id="41" xr3:uid="{D22AFBAA-3BBE-474C-B531-A97EDAF88F89}" name="PESO BRUTO"/>
    <tableColumn id="42" xr3:uid="{4784A727-A7F5-4DAD-B8F0-E3C3C3FD8464}" name="CANTIDAD"/>
    <tableColumn id="43" xr3:uid="{5CF1ACFF-D56B-4FAF-B74F-4770BC885D6B}" name="UNIDAD DE MEDIDA"/>
    <tableColumn id="44" xr3:uid="{3E31458C-3D7A-477B-ACBC-A243B43DFA45}" name="US$ CIF UNIT"/>
    <tableColumn id="45" xr3:uid="{C6AB29CF-22F5-4D72-898F-FF666564FFE4}" name="CANTIDAD COMERCIAL"/>
    <tableColumn id="46" xr3:uid="{80ADA81E-3AB4-43A6-BE72-A6777F58B59F}" name="UNIDAD COMERCIAL"/>
    <tableColumn id="47" xr3:uid="{4D8FFCB9-7D35-425F-83CB-8DF49222FE5A}" name="TIPO DE BULTO"/>
    <tableColumn id="48" xr3:uid="{9550E573-C283-48C6-8AE9-BE2D0C3EAD27}" name="CANTIDAD BULTO"/>
    <tableColumn id="49" xr3:uid="{2026E70B-0DF6-4821-8EA4-2232451D94B1}" name="ESTADO DE MERCANCIA"/>
    <tableColumn id="50" xr3:uid="{7AA99D8F-863A-4BAC-BDEE-BF893F7AD93D}" name="PROBABLE EMBARCADOR"/>
    <tableColumn id="51" xr3:uid="{00769DCA-B9AF-4117-B90E-613BF567E79F}" name="AGENTE DE ADUANA"/>
    <tableColumn id="52" xr3:uid="{4EE92CE3-8339-4B1C-95B7-574F8145A23E}" name="EMPRESA DE TRANSPORTE"/>
    <tableColumn id="53" xr3:uid="{16B5A49B-2BD4-4B03-AAF0-09B499BF26FB}" name="ALMACEN"/>
    <tableColumn id="54" xr3:uid="{D3D8C0DE-2204-4742-AA26-6C82DD6871C7}" name="INCOTERM"/>
    <tableColumn id="55" xr3:uid="{B1628D83-C44F-43E7-83D9-7A9BA99B7711}" name="MANIFIESTO DE CARGA"/>
    <tableColumn id="56" xr3:uid="{0133A1BA-14B7-4C45-AB4E-3E2E62F36C71}" name="FECHA DE LLEGADA"/>
    <tableColumn id="57" xr3:uid="{A0BF7F9C-46B2-4F9E-A4E1-6FFCEA095CE5}" name="US$ FOB UNIT"/>
    <tableColumn id="58" xr3:uid="{48056664-CF29-423A-8385-64EF0F3D55CB}" name="BILL OF LADING MASTER"/>
    <tableColumn id="59" xr3:uid="{F2C34820-AB00-44E0-82F4-A5B7ADA85BDD}" name="BILL OF LADING"/>
    <tableColumn id="60" xr3:uid="{4E6FF0D6-2FE0-463C-9D9A-8D481A538FD3}" name="FECHA DE EMBARQUE"/>
    <tableColumn id="61" xr3:uid="{3995D0CC-DE84-41A0-A4DE-196582832C25}" name="BUQUE"/>
    <tableColumn id="62" xr3:uid="{128D2AE6-78FC-41E6-AD46-194CCF51DB9D}" name="AGENTE DE CARGA EN DESTINO"/>
    <tableColumn id="63" xr3:uid="{2ADFF775-2E0A-4CB2-8F3B-BEA21D8060F8}" name="FORMA DE PAGO"/>
    <tableColumn id="64" xr3:uid="{3085B6DC-4328-426F-8E71-ACFC1F37B84C}" name="CAN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50"/>
  <sheetViews>
    <sheetView tabSelected="1" topLeftCell="AA1" zoomScaleNormal="100" workbookViewId="0">
      <selection activeCell="AB8" sqref="AB8"/>
    </sheetView>
  </sheetViews>
  <sheetFormatPr baseColWidth="10" defaultRowHeight="15" x14ac:dyDescent="0.2"/>
  <cols>
    <col min="7" max="7" width="20" customWidth="1"/>
    <col min="8" max="8" width="20.140625" customWidth="1"/>
    <col min="9" max="9" width="15.7109375" customWidth="1"/>
    <col min="10" max="10" width="13.28515625" customWidth="1"/>
    <col min="11" max="11" width="34.5703125" customWidth="1"/>
    <col min="13" max="13" width="11.85546875" customWidth="1"/>
    <col min="14" max="14" width="13" customWidth="1"/>
    <col min="16" max="16" width="22.42578125" customWidth="1"/>
    <col min="18" max="18" width="18.28515625" customWidth="1"/>
    <col min="19" max="19" width="23.42578125" customWidth="1"/>
    <col min="20" max="20" width="24.7109375" customWidth="1"/>
    <col min="21" max="21" width="25" customWidth="1"/>
    <col min="22" max="22" width="29.5703125" customWidth="1"/>
    <col min="23" max="23" width="14.140625" customWidth="1"/>
    <col min="24" max="27" width="32" customWidth="1"/>
    <col min="28" max="28" width="27.28515625" customWidth="1"/>
    <col min="31" max="31" width="20.5703125" customWidth="1"/>
    <col min="32" max="32" width="20.42578125" customWidth="1"/>
    <col min="34" max="34" width="13" customWidth="1"/>
    <col min="35" max="35" width="15.140625" customWidth="1"/>
    <col min="37" max="37" width="14.85546875" customWidth="1"/>
    <col min="40" max="40" width="13.85546875" customWidth="1"/>
    <col min="41" max="41" width="15.28515625" customWidth="1"/>
    <col min="42" max="42" width="12.5703125" customWidth="1"/>
    <col min="43" max="43" width="20.85546875" customWidth="1"/>
    <col min="44" max="44" width="15.140625" customWidth="1"/>
    <col min="45" max="45" width="24.140625" customWidth="1"/>
    <col min="46" max="46" width="21.7109375" customWidth="1"/>
    <col min="47" max="47" width="17.42578125" customWidth="1"/>
    <col min="48" max="48" width="19.42578125" customWidth="1"/>
    <col min="49" max="49" width="25.28515625" customWidth="1"/>
    <col min="50" max="50" width="27" customWidth="1"/>
    <col min="51" max="51" width="21.85546875" customWidth="1"/>
    <col min="52" max="52" width="28.28515625" customWidth="1"/>
    <col min="53" max="53" width="12.140625" customWidth="1"/>
    <col min="54" max="54" width="12.85546875" customWidth="1"/>
    <col min="55" max="55" width="24.7109375" customWidth="1"/>
    <col min="56" max="56" width="21.5703125" customWidth="1"/>
    <col min="57" max="57" width="16" customWidth="1"/>
    <col min="58" max="58" width="26.28515625" customWidth="1"/>
    <col min="59" max="59" width="18" customWidth="1"/>
    <col min="60" max="60" width="23.28515625" customWidth="1"/>
    <col min="62" max="62" width="32.42578125" customWidth="1"/>
    <col min="63" max="63" width="18.85546875" customWidth="1"/>
  </cols>
  <sheetData>
    <row r="1" spans="1:6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12.75" x14ac:dyDescent="0.2">
      <c r="A2">
        <v>18</v>
      </c>
      <c r="B2">
        <v>1</v>
      </c>
      <c r="C2">
        <v>2024</v>
      </c>
      <c r="D2" t="s">
        <v>64</v>
      </c>
      <c r="E2">
        <v>4</v>
      </c>
      <c r="F2" t="s">
        <v>65</v>
      </c>
      <c r="G2" t="s">
        <v>66</v>
      </c>
      <c r="H2">
        <v>20550731399</v>
      </c>
      <c r="I2" t="s">
        <v>67</v>
      </c>
      <c r="J2" t="s">
        <v>68</v>
      </c>
      <c r="K2" t="s">
        <v>69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74</v>
      </c>
      <c r="S2" t="s">
        <v>74</v>
      </c>
      <c r="T2" t="s">
        <v>75</v>
      </c>
      <c r="U2">
        <v>4016930000</v>
      </c>
      <c r="V2" t="s">
        <v>76</v>
      </c>
      <c r="W2" t="s">
        <v>77</v>
      </c>
      <c r="X2">
        <v>923548</v>
      </c>
      <c r="Y2" t="s">
        <v>78</v>
      </c>
      <c r="Z2" t="s">
        <v>79</v>
      </c>
      <c r="AA2" t="s">
        <v>80</v>
      </c>
      <c r="AB2" t="s">
        <v>79</v>
      </c>
      <c r="AC2" t="s">
        <v>81</v>
      </c>
      <c r="AD2">
        <v>923548</v>
      </c>
      <c r="AE2" t="s">
        <v>80</v>
      </c>
      <c r="AG2">
        <v>133.68</v>
      </c>
      <c r="AH2">
        <v>2.35</v>
      </c>
      <c r="AI2">
        <v>2.34</v>
      </c>
      <c r="AJ2">
        <v>138.37</v>
      </c>
      <c r="AK2">
        <v>8.3000000000000007</v>
      </c>
      <c r="AL2">
        <v>23.47</v>
      </c>
      <c r="AM2">
        <v>2.93</v>
      </c>
      <c r="AN2">
        <v>0.15</v>
      </c>
      <c r="AO2">
        <v>0.19</v>
      </c>
      <c r="AP2">
        <v>12</v>
      </c>
      <c r="AQ2" t="s">
        <v>82</v>
      </c>
      <c r="AR2">
        <v>11.53</v>
      </c>
      <c r="AS2">
        <v>12</v>
      </c>
      <c r="AT2" t="s">
        <v>83</v>
      </c>
      <c r="AU2" t="s">
        <v>84</v>
      </c>
      <c r="AV2">
        <v>0</v>
      </c>
      <c r="AW2" t="s">
        <v>85</v>
      </c>
      <c r="AX2" t="s">
        <v>86</v>
      </c>
      <c r="AY2" t="s">
        <v>87</v>
      </c>
      <c r="AZ2" t="s">
        <v>88</v>
      </c>
      <c r="BA2" t="s">
        <v>89</v>
      </c>
      <c r="BB2" t="s">
        <v>90</v>
      </c>
      <c r="BC2">
        <v>93</v>
      </c>
      <c r="BD2">
        <v>20240119</v>
      </c>
      <c r="BE2">
        <v>11.14</v>
      </c>
      <c r="BG2">
        <v>8162840405</v>
      </c>
      <c r="BH2">
        <v>20240116</v>
      </c>
      <c r="BJ2" t="s">
        <v>89</v>
      </c>
      <c r="BK2" t="s">
        <v>91</v>
      </c>
    </row>
    <row r="3" spans="1:64" ht="12.75" x14ac:dyDescent="0.2">
      <c r="A3">
        <v>18</v>
      </c>
      <c r="B3">
        <v>1</v>
      </c>
      <c r="C3">
        <v>2024</v>
      </c>
      <c r="D3" t="s">
        <v>64</v>
      </c>
      <c r="E3">
        <v>1</v>
      </c>
      <c r="F3" t="s">
        <v>65</v>
      </c>
      <c r="G3" t="s">
        <v>66</v>
      </c>
      <c r="H3">
        <v>20550731399</v>
      </c>
      <c r="I3" t="s">
        <v>67</v>
      </c>
      <c r="J3" t="s">
        <v>68</v>
      </c>
      <c r="K3" t="s">
        <v>69</v>
      </c>
      <c r="L3" t="s">
        <v>69</v>
      </c>
      <c r="M3" t="s">
        <v>70</v>
      </c>
      <c r="N3" t="s">
        <v>71</v>
      </c>
      <c r="O3" t="s">
        <v>71</v>
      </c>
      <c r="P3" t="s">
        <v>72</v>
      </c>
      <c r="Q3" t="s">
        <v>73</v>
      </c>
      <c r="R3" t="s">
        <v>74</v>
      </c>
      <c r="S3" t="s">
        <v>74</v>
      </c>
      <c r="T3" t="s">
        <v>75</v>
      </c>
      <c r="U3">
        <v>4016930000</v>
      </c>
      <c r="V3" t="s">
        <v>76</v>
      </c>
      <c r="W3" t="s">
        <v>92</v>
      </c>
      <c r="X3" t="s">
        <v>93</v>
      </c>
      <c r="Y3" t="s">
        <v>78</v>
      </c>
      <c r="Z3" t="s">
        <v>79</v>
      </c>
      <c r="AA3" t="s">
        <v>80</v>
      </c>
      <c r="AB3" t="s">
        <v>79</v>
      </c>
      <c r="AC3" t="s">
        <v>81</v>
      </c>
      <c r="AD3" t="s">
        <v>93</v>
      </c>
      <c r="AE3" t="s">
        <v>80</v>
      </c>
      <c r="AG3">
        <v>1816.34</v>
      </c>
      <c r="AH3">
        <v>31.93</v>
      </c>
      <c r="AI3">
        <v>31.79</v>
      </c>
      <c r="AJ3">
        <v>1880.05</v>
      </c>
      <c r="AK3">
        <v>112.8</v>
      </c>
      <c r="AL3">
        <v>318.86</v>
      </c>
      <c r="AM3">
        <v>39.86</v>
      </c>
      <c r="AN3">
        <v>2.06</v>
      </c>
      <c r="AO3">
        <v>2.6</v>
      </c>
      <c r="AP3">
        <v>15</v>
      </c>
      <c r="AQ3" t="s">
        <v>82</v>
      </c>
      <c r="AR3">
        <v>125.34</v>
      </c>
      <c r="AS3">
        <v>15</v>
      </c>
      <c r="AT3" t="s">
        <v>83</v>
      </c>
      <c r="AU3" t="s">
        <v>84</v>
      </c>
      <c r="AV3">
        <v>1</v>
      </c>
      <c r="AW3" t="s">
        <v>85</v>
      </c>
      <c r="AX3" t="s">
        <v>86</v>
      </c>
      <c r="AY3" t="s">
        <v>87</v>
      </c>
      <c r="AZ3" t="s">
        <v>88</v>
      </c>
      <c r="BA3" t="s">
        <v>89</v>
      </c>
      <c r="BB3" t="s">
        <v>90</v>
      </c>
      <c r="BC3">
        <v>93</v>
      </c>
      <c r="BD3">
        <v>20240119</v>
      </c>
      <c r="BE3">
        <v>121.089</v>
      </c>
      <c r="BG3">
        <v>8162840405</v>
      </c>
      <c r="BH3">
        <v>20240116</v>
      </c>
      <c r="BJ3" t="s">
        <v>89</v>
      </c>
      <c r="BK3" t="s">
        <v>91</v>
      </c>
    </row>
    <row r="4" spans="1:64" ht="12.75" x14ac:dyDescent="0.2">
      <c r="A4">
        <v>18</v>
      </c>
      <c r="B4">
        <v>1</v>
      </c>
      <c r="C4">
        <v>2024</v>
      </c>
      <c r="D4" t="s">
        <v>64</v>
      </c>
      <c r="E4">
        <v>2</v>
      </c>
      <c r="F4" t="s">
        <v>65</v>
      </c>
      <c r="G4" t="s">
        <v>66</v>
      </c>
      <c r="H4">
        <v>20550731399</v>
      </c>
      <c r="I4" t="s">
        <v>67</v>
      </c>
      <c r="J4" t="s">
        <v>68</v>
      </c>
      <c r="K4" t="s">
        <v>69</v>
      </c>
      <c r="L4" t="s">
        <v>69</v>
      </c>
      <c r="M4" t="s">
        <v>70</v>
      </c>
      <c r="N4" t="s">
        <v>71</v>
      </c>
      <c r="O4" t="s">
        <v>71</v>
      </c>
      <c r="P4" t="s">
        <v>72</v>
      </c>
      <c r="Q4" t="s">
        <v>73</v>
      </c>
      <c r="R4" t="s">
        <v>74</v>
      </c>
      <c r="S4" t="s">
        <v>74</v>
      </c>
      <c r="T4" t="s">
        <v>75</v>
      </c>
      <c r="U4">
        <v>4016930000</v>
      </c>
      <c r="V4" t="s">
        <v>76</v>
      </c>
      <c r="W4" t="s">
        <v>94</v>
      </c>
      <c r="X4" t="s">
        <v>95</v>
      </c>
      <c r="Y4" t="s">
        <v>78</v>
      </c>
      <c r="Z4" t="s">
        <v>79</v>
      </c>
      <c r="AA4" t="s">
        <v>80</v>
      </c>
      <c r="AB4" t="s">
        <v>79</v>
      </c>
      <c r="AC4" t="s">
        <v>81</v>
      </c>
      <c r="AD4" t="s">
        <v>95</v>
      </c>
      <c r="AE4" t="s">
        <v>80</v>
      </c>
      <c r="AG4">
        <v>591.88</v>
      </c>
      <c r="AH4">
        <v>10.4</v>
      </c>
      <c r="AI4">
        <v>10.36</v>
      </c>
      <c r="AJ4">
        <v>612.64</v>
      </c>
      <c r="AK4">
        <v>36.76</v>
      </c>
      <c r="AL4">
        <v>103.9</v>
      </c>
      <c r="AM4">
        <v>12.99</v>
      </c>
      <c r="AN4">
        <v>0.67</v>
      </c>
      <c r="AO4">
        <v>0.85</v>
      </c>
      <c r="AP4">
        <v>18</v>
      </c>
      <c r="AQ4" t="s">
        <v>82</v>
      </c>
      <c r="AR4">
        <v>34.04</v>
      </c>
      <c r="AS4">
        <v>18</v>
      </c>
      <c r="AT4" t="s">
        <v>83</v>
      </c>
      <c r="AU4" t="s">
        <v>84</v>
      </c>
      <c r="AV4">
        <v>0</v>
      </c>
      <c r="AW4" t="s">
        <v>85</v>
      </c>
      <c r="AX4" t="s">
        <v>86</v>
      </c>
      <c r="AY4" t="s">
        <v>87</v>
      </c>
      <c r="AZ4" t="s">
        <v>88</v>
      </c>
      <c r="BA4" t="s">
        <v>89</v>
      </c>
      <c r="BB4" t="s">
        <v>90</v>
      </c>
      <c r="BC4">
        <v>93</v>
      </c>
      <c r="BD4">
        <v>20240119</v>
      </c>
      <c r="BE4">
        <v>32.881999999999998</v>
      </c>
      <c r="BG4">
        <v>8162840405</v>
      </c>
      <c r="BH4">
        <v>20240116</v>
      </c>
      <c r="BJ4" t="s">
        <v>89</v>
      </c>
      <c r="BK4" t="s">
        <v>91</v>
      </c>
    </row>
    <row r="5" spans="1:64" ht="12.75" x14ac:dyDescent="0.2">
      <c r="A5">
        <v>18</v>
      </c>
      <c r="B5">
        <v>1</v>
      </c>
      <c r="C5">
        <v>2024</v>
      </c>
      <c r="D5" t="s">
        <v>64</v>
      </c>
      <c r="E5">
        <v>3</v>
      </c>
      <c r="F5" t="s">
        <v>65</v>
      </c>
      <c r="G5" t="s">
        <v>66</v>
      </c>
      <c r="H5">
        <v>20550731399</v>
      </c>
      <c r="I5" t="s">
        <v>67</v>
      </c>
      <c r="J5" t="s">
        <v>68</v>
      </c>
      <c r="K5" t="s">
        <v>69</v>
      </c>
      <c r="L5" t="s">
        <v>69</v>
      </c>
      <c r="M5" t="s">
        <v>70</v>
      </c>
      <c r="N5" t="s">
        <v>71</v>
      </c>
      <c r="O5" t="s">
        <v>71</v>
      </c>
      <c r="P5" t="s">
        <v>72</v>
      </c>
      <c r="Q5" t="s">
        <v>73</v>
      </c>
      <c r="R5" t="s">
        <v>74</v>
      </c>
      <c r="S5" t="s">
        <v>74</v>
      </c>
      <c r="T5" t="s">
        <v>75</v>
      </c>
      <c r="U5">
        <v>4016930000</v>
      </c>
      <c r="V5" t="s">
        <v>76</v>
      </c>
      <c r="W5" t="s">
        <v>96</v>
      </c>
      <c r="X5">
        <v>922733</v>
      </c>
      <c r="Y5" t="s">
        <v>78</v>
      </c>
      <c r="Z5" t="s">
        <v>79</v>
      </c>
      <c r="AA5" t="s">
        <v>80</v>
      </c>
      <c r="AB5" t="s">
        <v>79</v>
      </c>
      <c r="AC5" t="s">
        <v>81</v>
      </c>
      <c r="AD5">
        <v>922733</v>
      </c>
      <c r="AE5" t="s">
        <v>80</v>
      </c>
      <c r="AG5">
        <v>104.09</v>
      </c>
      <c r="AH5">
        <v>1.83</v>
      </c>
      <c r="AI5">
        <v>1.82</v>
      </c>
      <c r="AJ5">
        <v>107.74</v>
      </c>
      <c r="AK5">
        <v>6.47</v>
      </c>
      <c r="AL5">
        <v>18.28</v>
      </c>
      <c r="AM5">
        <v>2.2799999999999998</v>
      </c>
      <c r="AN5">
        <v>0.12</v>
      </c>
      <c r="AO5">
        <v>0.15</v>
      </c>
      <c r="AP5">
        <v>12</v>
      </c>
      <c r="AQ5" t="s">
        <v>82</v>
      </c>
      <c r="AR5">
        <v>8.98</v>
      </c>
      <c r="AS5">
        <v>12</v>
      </c>
      <c r="AT5" t="s">
        <v>83</v>
      </c>
      <c r="AU5" t="s">
        <v>84</v>
      </c>
      <c r="AV5">
        <v>0</v>
      </c>
      <c r="AW5" t="s">
        <v>85</v>
      </c>
      <c r="AX5" t="s">
        <v>86</v>
      </c>
      <c r="AY5" t="s">
        <v>87</v>
      </c>
      <c r="AZ5" t="s">
        <v>88</v>
      </c>
      <c r="BA5" t="s">
        <v>89</v>
      </c>
      <c r="BB5" t="s">
        <v>90</v>
      </c>
      <c r="BC5">
        <v>93</v>
      </c>
      <c r="BD5">
        <v>20240119</v>
      </c>
      <c r="BE5">
        <v>8.6739999999999995</v>
      </c>
      <c r="BG5">
        <v>8162840405</v>
      </c>
      <c r="BH5">
        <v>20240116</v>
      </c>
      <c r="BJ5" t="s">
        <v>89</v>
      </c>
      <c r="BK5" t="s">
        <v>91</v>
      </c>
    </row>
    <row r="6" spans="1:64" ht="12.75" x14ac:dyDescent="0.2">
      <c r="A6">
        <v>9</v>
      </c>
      <c r="B6">
        <v>2</v>
      </c>
      <c r="C6">
        <v>2024</v>
      </c>
      <c r="D6" t="s">
        <v>97</v>
      </c>
      <c r="E6">
        <v>1</v>
      </c>
      <c r="F6" t="s">
        <v>65</v>
      </c>
      <c r="G6" t="s">
        <v>66</v>
      </c>
      <c r="H6">
        <v>20550731399</v>
      </c>
      <c r="I6" t="s">
        <v>67</v>
      </c>
      <c r="J6" t="s">
        <v>68</v>
      </c>
      <c r="K6" t="s">
        <v>69</v>
      </c>
      <c r="L6" t="s">
        <v>69</v>
      </c>
      <c r="M6" t="s">
        <v>70</v>
      </c>
      <c r="N6" t="s">
        <v>71</v>
      </c>
      <c r="O6" t="s">
        <v>71</v>
      </c>
      <c r="P6" t="s">
        <v>72</v>
      </c>
      <c r="Q6" t="s">
        <v>73</v>
      </c>
      <c r="R6" t="s">
        <v>98</v>
      </c>
      <c r="S6" t="s">
        <v>98</v>
      </c>
      <c r="T6" t="s">
        <v>99</v>
      </c>
      <c r="U6">
        <v>8413190000</v>
      </c>
      <c r="V6" t="s">
        <v>100</v>
      </c>
      <c r="W6" t="s">
        <v>101</v>
      </c>
      <c r="X6" t="s">
        <v>102</v>
      </c>
      <c r="Z6" t="s">
        <v>103</v>
      </c>
      <c r="AB6" t="s">
        <v>104</v>
      </c>
      <c r="AC6" t="s">
        <v>105</v>
      </c>
      <c r="AD6" t="s">
        <v>106</v>
      </c>
      <c r="AE6" t="s">
        <v>103</v>
      </c>
      <c r="AG6">
        <v>4665.2700000000004</v>
      </c>
      <c r="AH6">
        <v>173.2</v>
      </c>
      <c r="AI6">
        <v>46.65</v>
      </c>
      <c r="AJ6">
        <v>4885.12</v>
      </c>
      <c r="AK6">
        <v>0</v>
      </c>
      <c r="AL6">
        <v>781.62</v>
      </c>
      <c r="AM6">
        <v>97.7</v>
      </c>
      <c r="AN6">
        <v>69</v>
      </c>
      <c r="AO6">
        <v>77.62</v>
      </c>
      <c r="AP6">
        <v>40</v>
      </c>
      <c r="AQ6" t="s">
        <v>82</v>
      </c>
      <c r="AR6">
        <v>122.13</v>
      </c>
      <c r="AS6">
        <v>40</v>
      </c>
      <c r="AT6" t="s">
        <v>107</v>
      </c>
      <c r="AU6" t="s">
        <v>84</v>
      </c>
      <c r="AV6">
        <v>1</v>
      </c>
      <c r="AW6" t="s">
        <v>85</v>
      </c>
      <c r="AY6" t="s">
        <v>108</v>
      </c>
      <c r="AZ6" t="s">
        <v>109</v>
      </c>
      <c r="BA6" t="s">
        <v>110</v>
      </c>
      <c r="BB6" t="s">
        <v>90</v>
      </c>
      <c r="BC6">
        <v>3958</v>
      </c>
      <c r="BD6">
        <v>20240212</v>
      </c>
      <c r="BE6">
        <v>116.63200000000001</v>
      </c>
      <c r="BG6" t="s">
        <v>111</v>
      </c>
      <c r="BH6">
        <v>20240209</v>
      </c>
      <c r="BJ6" t="s">
        <v>112</v>
      </c>
    </row>
    <row r="7" spans="1:64" ht="12.75" x14ac:dyDescent="0.2">
      <c r="A7">
        <v>9</v>
      </c>
      <c r="B7">
        <v>2</v>
      </c>
      <c r="C7">
        <v>2024</v>
      </c>
      <c r="D7" t="s">
        <v>97</v>
      </c>
      <c r="E7">
        <v>2</v>
      </c>
      <c r="F7" t="s">
        <v>65</v>
      </c>
      <c r="G7" t="s">
        <v>66</v>
      </c>
      <c r="H7">
        <v>20550731399</v>
      </c>
      <c r="I7" t="s">
        <v>67</v>
      </c>
      <c r="J7" t="s">
        <v>68</v>
      </c>
      <c r="K7" t="s">
        <v>69</v>
      </c>
      <c r="L7" t="s">
        <v>69</v>
      </c>
      <c r="M7" t="s">
        <v>70</v>
      </c>
      <c r="N7" t="s">
        <v>71</v>
      </c>
      <c r="O7" t="s">
        <v>71</v>
      </c>
      <c r="P7" t="s">
        <v>72</v>
      </c>
      <c r="Q7" t="s">
        <v>73</v>
      </c>
      <c r="R7" t="s">
        <v>98</v>
      </c>
      <c r="S7" t="s">
        <v>98</v>
      </c>
      <c r="T7" t="s">
        <v>99</v>
      </c>
      <c r="U7">
        <v>8413190000</v>
      </c>
      <c r="V7" t="s">
        <v>100</v>
      </c>
      <c r="W7" t="s">
        <v>113</v>
      </c>
      <c r="X7" t="s">
        <v>114</v>
      </c>
      <c r="Z7" t="s">
        <v>103</v>
      </c>
      <c r="AB7" t="s">
        <v>104</v>
      </c>
      <c r="AC7" t="s">
        <v>105</v>
      </c>
      <c r="AD7" t="s">
        <v>115</v>
      </c>
      <c r="AE7" t="s">
        <v>103</v>
      </c>
      <c r="AG7">
        <v>1405.13</v>
      </c>
      <c r="AH7">
        <v>52.16</v>
      </c>
      <c r="AI7">
        <v>14.05</v>
      </c>
      <c r="AJ7">
        <v>1471.35</v>
      </c>
      <c r="AK7">
        <v>0</v>
      </c>
      <c r="AL7">
        <v>235.42</v>
      </c>
      <c r="AM7">
        <v>29.43</v>
      </c>
      <c r="AN7">
        <v>20.78</v>
      </c>
      <c r="AO7">
        <v>23.38</v>
      </c>
      <c r="AP7">
        <v>10</v>
      </c>
      <c r="AQ7" t="s">
        <v>82</v>
      </c>
      <c r="AR7">
        <v>147.13</v>
      </c>
      <c r="AS7">
        <v>10</v>
      </c>
      <c r="AT7" t="s">
        <v>107</v>
      </c>
      <c r="AU7" t="s">
        <v>84</v>
      </c>
      <c r="AV7">
        <v>0</v>
      </c>
      <c r="AW7" t="s">
        <v>85</v>
      </c>
      <c r="AY7" t="s">
        <v>108</v>
      </c>
      <c r="AZ7" t="s">
        <v>109</v>
      </c>
      <c r="BA7" t="s">
        <v>110</v>
      </c>
      <c r="BB7" t="s">
        <v>90</v>
      </c>
      <c r="BC7">
        <v>3958</v>
      </c>
      <c r="BD7">
        <v>20240212</v>
      </c>
      <c r="BE7">
        <v>140.51300000000001</v>
      </c>
      <c r="BG7" t="s">
        <v>111</v>
      </c>
      <c r="BH7">
        <v>20240209</v>
      </c>
      <c r="BJ7" t="s">
        <v>112</v>
      </c>
    </row>
    <row r="8" spans="1:64" ht="12.75" x14ac:dyDescent="0.2">
      <c r="A8">
        <v>16</v>
      </c>
      <c r="B8">
        <v>2</v>
      </c>
      <c r="C8">
        <v>2024</v>
      </c>
      <c r="D8" t="s">
        <v>116</v>
      </c>
      <c r="E8">
        <v>1</v>
      </c>
      <c r="F8" t="s">
        <v>65</v>
      </c>
      <c r="G8" t="s">
        <v>66</v>
      </c>
      <c r="H8">
        <v>20550731399</v>
      </c>
      <c r="I8" t="s">
        <v>67</v>
      </c>
      <c r="J8" t="s">
        <v>68</v>
      </c>
      <c r="K8" t="s">
        <v>69</v>
      </c>
      <c r="L8" t="s">
        <v>69</v>
      </c>
      <c r="M8" t="s">
        <v>70</v>
      </c>
      <c r="N8" t="s">
        <v>71</v>
      </c>
      <c r="O8" t="s">
        <v>71</v>
      </c>
      <c r="P8" t="s">
        <v>72</v>
      </c>
      <c r="Q8" t="s">
        <v>73</v>
      </c>
      <c r="R8" t="s">
        <v>117</v>
      </c>
      <c r="S8" t="s">
        <v>98</v>
      </c>
      <c r="T8" t="s">
        <v>99</v>
      </c>
      <c r="U8">
        <v>8481804000</v>
      </c>
      <c r="V8" t="s">
        <v>118</v>
      </c>
      <c r="W8" t="s">
        <v>119</v>
      </c>
      <c r="X8" t="s">
        <v>120</v>
      </c>
      <c r="Z8" t="s">
        <v>121</v>
      </c>
      <c r="AB8" t="s">
        <v>122</v>
      </c>
      <c r="AC8" t="s">
        <v>123</v>
      </c>
      <c r="AD8" t="s">
        <v>124</v>
      </c>
      <c r="AE8" t="s">
        <v>121</v>
      </c>
      <c r="AG8">
        <v>663.85</v>
      </c>
      <c r="AH8">
        <v>31.21</v>
      </c>
      <c r="AI8">
        <v>6.64</v>
      </c>
      <c r="AJ8">
        <v>701.7</v>
      </c>
      <c r="AK8">
        <v>0</v>
      </c>
      <c r="AL8">
        <v>112.27</v>
      </c>
      <c r="AM8">
        <v>14.03</v>
      </c>
      <c r="AN8">
        <v>3.37</v>
      </c>
      <c r="AO8">
        <v>3.37</v>
      </c>
      <c r="AP8">
        <v>1</v>
      </c>
      <c r="AQ8" t="s">
        <v>82</v>
      </c>
      <c r="AR8">
        <v>701.7</v>
      </c>
      <c r="AS8">
        <v>1</v>
      </c>
      <c r="AT8" t="s">
        <v>107</v>
      </c>
      <c r="AU8" t="s">
        <v>84</v>
      </c>
      <c r="AV8">
        <v>1</v>
      </c>
      <c r="AW8" t="s">
        <v>85</v>
      </c>
      <c r="AY8" t="s">
        <v>108</v>
      </c>
      <c r="BA8" t="s">
        <v>110</v>
      </c>
      <c r="BB8" t="s">
        <v>90</v>
      </c>
      <c r="BC8">
        <v>4506</v>
      </c>
      <c r="BD8">
        <v>20240220</v>
      </c>
      <c r="BE8">
        <v>663.85</v>
      </c>
      <c r="BG8" t="s">
        <v>125</v>
      </c>
      <c r="BH8">
        <v>20240216</v>
      </c>
      <c r="BJ8" t="s">
        <v>112</v>
      </c>
    </row>
    <row r="9" spans="1:64" ht="12.75" x14ac:dyDescent="0.2">
      <c r="A9">
        <v>16</v>
      </c>
      <c r="B9">
        <v>2</v>
      </c>
      <c r="C9">
        <v>2024</v>
      </c>
      <c r="D9" t="s">
        <v>116</v>
      </c>
      <c r="E9">
        <v>2</v>
      </c>
      <c r="F9" t="s">
        <v>65</v>
      </c>
      <c r="G9" t="s">
        <v>66</v>
      </c>
      <c r="H9">
        <v>20550731399</v>
      </c>
      <c r="I9" t="s">
        <v>67</v>
      </c>
      <c r="J9" t="s">
        <v>68</v>
      </c>
      <c r="K9" t="s">
        <v>69</v>
      </c>
      <c r="L9" t="s">
        <v>69</v>
      </c>
      <c r="M9" t="s">
        <v>70</v>
      </c>
      <c r="N9" t="s">
        <v>71</v>
      </c>
      <c r="O9" t="s">
        <v>71</v>
      </c>
      <c r="P9" t="s">
        <v>72</v>
      </c>
      <c r="Q9" t="s">
        <v>73</v>
      </c>
      <c r="R9" t="s">
        <v>117</v>
      </c>
      <c r="S9" t="s">
        <v>98</v>
      </c>
      <c r="T9" t="s">
        <v>99</v>
      </c>
      <c r="U9">
        <v>8481804000</v>
      </c>
      <c r="V9" t="s">
        <v>118</v>
      </c>
      <c r="W9" t="s">
        <v>126</v>
      </c>
      <c r="X9" t="s">
        <v>127</v>
      </c>
      <c r="Z9" t="s">
        <v>121</v>
      </c>
      <c r="AB9" t="s">
        <v>122</v>
      </c>
      <c r="AC9" t="s">
        <v>123</v>
      </c>
      <c r="AD9" t="s">
        <v>128</v>
      </c>
      <c r="AE9" t="s">
        <v>121</v>
      </c>
      <c r="AG9">
        <v>586.86</v>
      </c>
      <c r="AH9">
        <v>27.6</v>
      </c>
      <c r="AI9">
        <v>5.87</v>
      </c>
      <c r="AJ9">
        <v>620.33000000000004</v>
      </c>
      <c r="AK9">
        <v>0</v>
      </c>
      <c r="AL9">
        <v>99.25</v>
      </c>
      <c r="AM9">
        <v>12.41</v>
      </c>
      <c r="AN9">
        <v>2.98</v>
      </c>
      <c r="AO9">
        <v>2.98</v>
      </c>
      <c r="AP9">
        <v>1</v>
      </c>
      <c r="AQ9" t="s">
        <v>82</v>
      </c>
      <c r="AR9">
        <v>620.33000000000004</v>
      </c>
      <c r="AS9">
        <v>1</v>
      </c>
      <c r="AT9" t="s">
        <v>107</v>
      </c>
      <c r="AU9" t="s">
        <v>84</v>
      </c>
      <c r="AV9">
        <v>0</v>
      </c>
      <c r="AW9" t="s">
        <v>85</v>
      </c>
      <c r="AY9" t="s">
        <v>108</v>
      </c>
      <c r="BA9" t="s">
        <v>110</v>
      </c>
      <c r="BB9" t="s">
        <v>90</v>
      </c>
      <c r="BC9">
        <v>4506</v>
      </c>
      <c r="BD9">
        <v>20240220</v>
      </c>
      <c r="BE9">
        <v>586.86</v>
      </c>
      <c r="BG9" t="s">
        <v>125</v>
      </c>
      <c r="BH9">
        <v>20240216</v>
      </c>
      <c r="BJ9" t="s">
        <v>112</v>
      </c>
    </row>
    <row r="10" spans="1:64" ht="12.75" x14ac:dyDescent="0.2">
      <c r="A10">
        <v>16</v>
      </c>
      <c r="B10">
        <v>2</v>
      </c>
      <c r="C10">
        <v>2024</v>
      </c>
      <c r="D10" t="s">
        <v>116</v>
      </c>
      <c r="E10">
        <v>3</v>
      </c>
      <c r="F10" t="s">
        <v>65</v>
      </c>
      <c r="G10" t="s">
        <v>66</v>
      </c>
      <c r="H10">
        <v>20550731399</v>
      </c>
      <c r="I10" t="s">
        <v>67</v>
      </c>
      <c r="J10" t="s">
        <v>68</v>
      </c>
      <c r="K10" t="s">
        <v>69</v>
      </c>
      <c r="L10" t="s">
        <v>69</v>
      </c>
      <c r="M10" t="s">
        <v>70</v>
      </c>
      <c r="N10" t="s">
        <v>71</v>
      </c>
      <c r="O10" t="s">
        <v>71</v>
      </c>
      <c r="P10" t="s">
        <v>72</v>
      </c>
      <c r="Q10" t="s">
        <v>73</v>
      </c>
      <c r="R10" t="s">
        <v>74</v>
      </c>
      <c r="S10" t="s">
        <v>98</v>
      </c>
      <c r="T10" t="s">
        <v>99</v>
      </c>
      <c r="U10">
        <v>8412900000</v>
      </c>
      <c r="V10" t="s">
        <v>129</v>
      </c>
      <c r="W10" t="s">
        <v>130</v>
      </c>
      <c r="X10" t="s">
        <v>131</v>
      </c>
      <c r="Z10" t="s">
        <v>132</v>
      </c>
      <c r="AB10" t="s">
        <v>79</v>
      </c>
      <c r="AC10" t="s">
        <v>123</v>
      </c>
      <c r="AD10" t="str">
        <f>+Tabla1[[#This Row],[DESCRIPCIÓN DE MERCANCÍA 1]]</f>
        <v>61259-000</v>
      </c>
      <c r="AE10" t="s">
        <v>132</v>
      </c>
      <c r="AG10">
        <v>247.7</v>
      </c>
      <c r="AH10">
        <v>11.64</v>
      </c>
      <c r="AI10">
        <v>2.48</v>
      </c>
      <c r="AJ10">
        <v>261.82</v>
      </c>
      <c r="AK10">
        <v>0</v>
      </c>
      <c r="AL10">
        <v>41.89</v>
      </c>
      <c r="AM10">
        <v>5.24</v>
      </c>
      <c r="AN10">
        <v>1.26</v>
      </c>
      <c r="AO10">
        <v>1.26</v>
      </c>
      <c r="AP10">
        <v>12</v>
      </c>
      <c r="AQ10" t="s">
        <v>82</v>
      </c>
      <c r="AR10">
        <v>21.82</v>
      </c>
      <c r="AS10">
        <v>12</v>
      </c>
      <c r="AT10" t="s">
        <v>107</v>
      </c>
      <c r="AU10" t="s">
        <v>84</v>
      </c>
      <c r="AV10">
        <v>0</v>
      </c>
      <c r="AW10" t="s">
        <v>85</v>
      </c>
      <c r="AY10" t="s">
        <v>108</v>
      </c>
      <c r="BA10" t="s">
        <v>110</v>
      </c>
      <c r="BB10" t="s">
        <v>90</v>
      </c>
      <c r="BC10">
        <v>4506</v>
      </c>
      <c r="BD10">
        <v>20240220</v>
      </c>
      <c r="BE10">
        <v>20.641999999999999</v>
      </c>
      <c r="BG10" t="s">
        <v>125</v>
      </c>
      <c r="BH10">
        <v>20240216</v>
      </c>
      <c r="BJ10" t="s">
        <v>112</v>
      </c>
    </row>
    <row r="11" spans="1:64" ht="12.75" x14ac:dyDescent="0.2">
      <c r="A11">
        <v>28</v>
      </c>
      <c r="B11">
        <v>2</v>
      </c>
      <c r="C11">
        <v>2024</v>
      </c>
      <c r="D11" t="s">
        <v>133</v>
      </c>
      <c r="E11">
        <v>2</v>
      </c>
      <c r="F11" t="s">
        <v>65</v>
      </c>
      <c r="G11" t="s">
        <v>66</v>
      </c>
      <c r="H11">
        <v>20550731399</v>
      </c>
      <c r="I11" t="s">
        <v>67</v>
      </c>
      <c r="J11" t="s">
        <v>68</v>
      </c>
      <c r="K11" t="s">
        <v>69</v>
      </c>
      <c r="L11" t="s">
        <v>69</v>
      </c>
      <c r="M11" t="s">
        <v>70</v>
      </c>
      <c r="N11" t="s">
        <v>71</v>
      </c>
      <c r="O11" t="s">
        <v>71</v>
      </c>
      <c r="P11" t="s">
        <v>72</v>
      </c>
      <c r="Q11" t="s">
        <v>73</v>
      </c>
      <c r="R11" t="s">
        <v>74</v>
      </c>
      <c r="S11" t="s">
        <v>74</v>
      </c>
      <c r="T11" t="s">
        <v>134</v>
      </c>
      <c r="U11">
        <v>8484900000</v>
      </c>
      <c r="V11" t="s">
        <v>135</v>
      </c>
      <c r="W11" t="s">
        <v>136</v>
      </c>
      <c r="X11">
        <v>23123</v>
      </c>
      <c r="Y11" t="s">
        <v>137</v>
      </c>
      <c r="Z11" t="s">
        <v>79</v>
      </c>
      <c r="AA11" t="s">
        <v>80</v>
      </c>
      <c r="AB11" t="s">
        <v>79</v>
      </c>
      <c r="AC11" t="s">
        <v>138</v>
      </c>
      <c r="AD11">
        <v>23123</v>
      </c>
      <c r="AE11" t="s">
        <v>80</v>
      </c>
      <c r="AG11">
        <v>1547.19</v>
      </c>
      <c r="AH11">
        <v>50.84</v>
      </c>
      <c r="AI11">
        <v>15.47</v>
      </c>
      <c r="AJ11">
        <v>1613.5</v>
      </c>
      <c r="AK11">
        <v>96.81</v>
      </c>
      <c r="AL11">
        <v>273.64999999999998</v>
      </c>
      <c r="AM11">
        <v>34.21</v>
      </c>
      <c r="AN11">
        <v>3.55</v>
      </c>
      <c r="AO11">
        <v>5.05</v>
      </c>
      <c r="AP11">
        <v>4</v>
      </c>
      <c r="AQ11" t="s">
        <v>82</v>
      </c>
      <c r="AR11">
        <v>403.38</v>
      </c>
      <c r="AS11">
        <v>4</v>
      </c>
      <c r="AT11" t="s">
        <v>83</v>
      </c>
      <c r="AU11" t="s">
        <v>84</v>
      </c>
      <c r="AV11">
        <v>0</v>
      </c>
      <c r="AW11" t="s">
        <v>85</v>
      </c>
      <c r="AY11" t="s">
        <v>87</v>
      </c>
      <c r="AZ11" t="s">
        <v>88</v>
      </c>
      <c r="BA11" t="s">
        <v>89</v>
      </c>
      <c r="BC11">
        <v>2317</v>
      </c>
      <c r="BD11">
        <v>20240229</v>
      </c>
      <c r="BE11">
        <v>386.798</v>
      </c>
      <c r="BJ11" t="s">
        <v>89</v>
      </c>
    </row>
    <row r="12" spans="1:64" ht="12.75" x14ac:dyDescent="0.2">
      <c r="A12">
        <v>28</v>
      </c>
      <c r="B12">
        <v>2</v>
      </c>
      <c r="C12">
        <v>2024</v>
      </c>
      <c r="D12" t="s">
        <v>133</v>
      </c>
      <c r="E12">
        <v>3</v>
      </c>
      <c r="F12" t="s">
        <v>65</v>
      </c>
      <c r="G12" t="s">
        <v>66</v>
      </c>
      <c r="H12">
        <v>20550731399</v>
      </c>
      <c r="I12" t="s">
        <v>67</v>
      </c>
      <c r="J12" t="s">
        <v>68</v>
      </c>
      <c r="K12" t="s">
        <v>69</v>
      </c>
      <c r="L12" t="s">
        <v>69</v>
      </c>
      <c r="M12" t="s">
        <v>70</v>
      </c>
      <c r="N12" t="s">
        <v>71</v>
      </c>
      <c r="O12" t="s">
        <v>71</v>
      </c>
      <c r="P12" t="s">
        <v>72</v>
      </c>
      <c r="Q12" t="s">
        <v>73</v>
      </c>
      <c r="R12" t="s">
        <v>74</v>
      </c>
      <c r="S12" t="s">
        <v>74</v>
      </c>
      <c r="T12" t="s">
        <v>134</v>
      </c>
      <c r="U12">
        <v>8484900000</v>
      </c>
      <c r="V12" t="s">
        <v>135</v>
      </c>
      <c r="W12" t="s">
        <v>139</v>
      </c>
      <c r="X12" t="s">
        <v>140</v>
      </c>
      <c r="Y12" t="s">
        <v>137</v>
      </c>
      <c r="Z12" t="s">
        <v>79</v>
      </c>
      <c r="AA12" t="s">
        <v>80</v>
      </c>
      <c r="AB12" t="s">
        <v>79</v>
      </c>
      <c r="AC12" t="s">
        <v>141</v>
      </c>
      <c r="AD12">
        <v>4335</v>
      </c>
      <c r="AE12" t="s">
        <v>80</v>
      </c>
      <c r="AG12">
        <v>237.18</v>
      </c>
      <c r="AH12">
        <v>7.79</v>
      </c>
      <c r="AI12">
        <v>2.37</v>
      </c>
      <c r="AJ12">
        <v>247.35</v>
      </c>
      <c r="AK12">
        <v>14.84</v>
      </c>
      <c r="AL12">
        <v>41.95</v>
      </c>
      <c r="AM12">
        <v>5.24</v>
      </c>
      <c r="AN12">
        <v>0.54</v>
      </c>
      <c r="AO12">
        <v>0.77</v>
      </c>
      <c r="AP12">
        <v>1</v>
      </c>
      <c r="AQ12" t="s">
        <v>82</v>
      </c>
      <c r="AR12">
        <v>247.35</v>
      </c>
      <c r="AS12">
        <v>1</v>
      </c>
      <c r="AT12" t="s">
        <v>83</v>
      </c>
      <c r="AU12" t="s">
        <v>84</v>
      </c>
      <c r="AV12">
        <v>0</v>
      </c>
      <c r="AW12" t="s">
        <v>85</v>
      </c>
      <c r="AY12" t="s">
        <v>87</v>
      </c>
      <c r="AZ12" t="s">
        <v>88</v>
      </c>
      <c r="BA12" t="s">
        <v>89</v>
      </c>
      <c r="BC12">
        <v>2317</v>
      </c>
      <c r="BD12">
        <v>20240229</v>
      </c>
      <c r="BE12">
        <v>237.18</v>
      </c>
      <c r="BJ12" t="s">
        <v>89</v>
      </c>
    </row>
    <row r="13" spans="1:64" ht="12.75" x14ac:dyDescent="0.2">
      <c r="A13">
        <v>28</v>
      </c>
      <c r="B13">
        <v>2</v>
      </c>
      <c r="C13">
        <v>2024</v>
      </c>
      <c r="D13" t="s">
        <v>133</v>
      </c>
      <c r="E13">
        <v>1</v>
      </c>
      <c r="F13" t="s">
        <v>65</v>
      </c>
      <c r="G13" t="s">
        <v>66</v>
      </c>
      <c r="H13">
        <v>20550731399</v>
      </c>
      <c r="I13" t="s">
        <v>67</v>
      </c>
      <c r="J13" t="s">
        <v>68</v>
      </c>
      <c r="K13" t="s">
        <v>69</v>
      </c>
      <c r="L13" t="s">
        <v>69</v>
      </c>
      <c r="M13" t="s">
        <v>70</v>
      </c>
      <c r="N13" t="s">
        <v>71</v>
      </c>
      <c r="O13" t="s">
        <v>71</v>
      </c>
      <c r="P13" t="s">
        <v>72</v>
      </c>
      <c r="Q13" t="s">
        <v>73</v>
      </c>
      <c r="R13" t="s">
        <v>74</v>
      </c>
      <c r="S13" t="s">
        <v>74</v>
      </c>
      <c r="T13" t="s">
        <v>134</v>
      </c>
      <c r="U13">
        <v>8482990000</v>
      </c>
      <c r="V13" t="s">
        <v>142</v>
      </c>
      <c r="W13" t="s">
        <v>143</v>
      </c>
      <c r="X13" t="s">
        <v>144</v>
      </c>
      <c r="Y13" t="s">
        <v>145</v>
      </c>
      <c r="Z13" t="s">
        <v>146</v>
      </c>
      <c r="AA13" t="s">
        <v>147</v>
      </c>
      <c r="AB13" t="s">
        <v>146</v>
      </c>
      <c r="AC13" t="s">
        <v>141</v>
      </c>
      <c r="AD13">
        <v>41752</v>
      </c>
      <c r="AE13" t="s">
        <v>147</v>
      </c>
      <c r="AG13">
        <v>396.08</v>
      </c>
      <c r="AH13">
        <v>13.02</v>
      </c>
      <c r="AI13">
        <v>5.94</v>
      </c>
      <c r="AJ13">
        <v>415.04</v>
      </c>
      <c r="AK13">
        <v>0</v>
      </c>
      <c r="AL13">
        <v>66.41</v>
      </c>
      <c r="AM13">
        <v>8.3000000000000007</v>
      </c>
      <c r="AN13">
        <v>0.91</v>
      </c>
      <c r="AO13">
        <v>1.29</v>
      </c>
      <c r="AP13">
        <v>1</v>
      </c>
      <c r="AQ13" t="s">
        <v>82</v>
      </c>
      <c r="AR13">
        <v>415.04</v>
      </c>
      <c r="AS13">
        <v>1</v>
      </c>
      <c r="AT13" t="s">
        <v>107</v>
      </c>
      <c r="AU13" t="s">
        <v>84</v>
      </c>
      <c r="AV13">
        <v>1</v>
      </c>
      <c r="AW13" t="s">
        <v>85</v>
      </c>
      <c r="AY13" t="s">
        <v>87</v>
      </c>
      <c r="AZ13" t="s">
        <v>88</v>
      </c>
      <c r="BA13" t="s">
        <v>89</v>
      </c>
      <c r="BC13">
        <v>2317</v>
      </c>
      <c r="BD13">
        <v>20240229</v>
      </c>
      <c r="BE13">
        <v>396.08</v>
      </c>
      <c r="BJ13" t="s">
        <v>89</v>
      </c>
    </row>
    <row r="14" spans="1:64" ht="12.75" x14ac:dyDescent="0.2">
      <c r="A14">
        <v>6</v>
      </c>
      <c r="B14">
        <v>3</v>
      </c>
      <c r="C14">
        <v>2024</v>
      </c>
      <c r="D14" t="s">
        <v>148</v>
      </c>
      <c r="E14">
        <v>1</v>
      </c>
      <c r="F14" t="s">
        <v>65</v>
      </c>
      <c r="G14" t="s">
        <v>66</v>
      </c>
      <c r="H14">
        <v>20550731399</v>
      </c>
      <c r="I14" t="s">
        <v>67</v>
      </c>
      <c r="J14" t="s">
        <v>68</v>
      </c>
      <c r="K14" t="s">
        <v>69</v>
      </c>
      <c r="L14" t="s">
        <v>69</v>
      </c>
      <c r="M14" t="s">
        <v>70</v>
      </c>
      <c r="N14" t="s">
        <v>71</v>
      </c>
      <c r="O14" t="s">
        <v>71</v>
      </c>
      <c r="P14" t="s">
        <v>72</v>
      </c>
      <c r="Q14" t="s">
        <v>73</v>
      </c>
      <c r="R14" t="s">
        <v>117</v>
      </c>
      <c r="S14" t="s">
        <v>149</v>
      </c>
      <c r="T14" t="s">
        <v>150</v>
      </c>
      <c r="U14">
        <v>8421991000</v>
      </c>
      <c r="V14" t="s">
        <v>151</v>
      </c>
      <c r="W14" t="s">
        <v>152</v>
      </c>
      <c r="X14" t="s">
        <v>1417</v>
      </c>
      <c r="Y14" t="s">
        <v>153</v>
      </c>
      <c r="Z14" t="s">
        <v>154</v>
      </c>
      <c r="AA14" t="s">
        <v>107</v>
      </c>
      <c r="AB14" t="s">
        <v>154</v>
      </c>
      <c r="AC14" t="s">
        <v>81</v>
      </c>
      <c r="AD14" t="str">
        <f>+Tabla1[[#This Row],[DESCRIPCIÓN DE MERCANCÍA 1]]</f>
        <v>A602213</v>
      </c>
      <c r="AE14" t="s">
        <v>107</v>
      </c>
      <c r="AG14">
        <v>229.53</v>
      </c>
      <c r="AH14">
        <v>10.41</v>
      </c>
      <c r="AI14">
        <v>2.29</v>
      </c>
      <c r="AJ14">
        <v>242.24</v>
      </c>
      <c r="AK14">
        <v>0</v>
      </c>
      <c r="AL14">
        <v>38.76</v>
      </c>
      <c r="AM14">
        <v>4.84</v>
      </c>
      <c r="AN14">
        <v>0.61</v>
      </c>
      <c r="AO14">
        <v>0.63</v>
      </c>
      <c r="AP14">
        <v>2</v>
      </c>
      <c r="AQ14" t="s">
        <v>82</v>
      </c>
      <c r="AR14">
        <v>121.12</v>
      </c>
      <c r="AS14">
        <v>2</v>
      </c>
      <c r="AT14" t="s">
        <v>107</v>
      </c>
      <c r="AU14" t="s">
        <v>84</v>
      </c>
      <c r="AV14">
        <v>1</v>
      </c>
      <c r="AW14" t="s">
        <v>85</v>
      </c>
      <c r="AY14" t="s">
        <v>87</v>
      </c>
      <c r="AZ14" t="s">
        <v>155</v>
      </c>
      <c r="BA14" t="s">
        <v>89</v>
      </c>
      <c r="BB14" t="s">
        <v>90</v>
      </c>
      <c r="BC14">
        <v>5902</v>
      </c>
      <c r="BD14">
        <v>20240303</v>
      </c>
      <c r="BE14">
        <v>114.765</v>
      </c>
      <c r="BG14">
        <v>5706124830</v>
      </c>
      <c r="BH14">
        <v>20240227</v>
      </c>
      <c r="BJ14" t="s">
        <v>89</v>
      </c>
      <c r="BK14" t="s">
        <v>91</v>
      </c>
    </row>
    <row r="15" spans="1:64" ht="12.75" x14ac:dyDescent="0.2">
      <c r="A15">
        <v>6</v>
      </c>
      <c r="B15">
        <v>3</v>
      </c>
      <c r="C15">
        <v>2024</v>
      </c>
      <c r="D15" t="s">
        <v>148</v>
      </c>
      <c r="E15">
        <v>2</v>
      </c>
      <c r="F15" t="s">
        <v>65</v>
      </c>
      <c r="G15" t="s">
        <v>66</v>
      </c>
      <c r="H15">
        <v>20550731399</v>
      </c>
      <c r="I15" t="s">
        <v>67</v>
      </c>
      <c r="J15" t="s">
        <v>68</v>
      </c>
      <c r="K15" t="s">
        <v>69</v>
      </c>
      <c r="L15" t="s">
        <v>69</v>
      </c>
      <c r="M15" t="s">
        <v>70</v>
      </c>
      <c r="N15" t="s">
        <v>71</v>
      </c>
      <c r="O15" t="s">
        <v>71</v>
      </c>
      <c r="P15" t="s">
        <v>72</v>
      </c>
      <c r="Q15" t="s">
        <v>73</v>
      </c>
      <c r="R15" t="s">
        <v>117</v>
      </c>
      <c r="S15" t="s">
        <v>149</v>
      </c>
      <c r="T15" t="s">
        <v>150</v>
      </c>
      <c r="U15">
        <v>8421991000</v>
      </c>
      <c r="V15" t="s">
        <v>151</v>
      </c>
      <c r="W15" t="s">
        <v>152</v>
      </c>
      <c r="X15" t="s">
        <v>1401</v>
      </c>
      <c r="Y15" t="s">
        <v>153</v>
      </c>
      <c r="Z15" t="s">
        <v>154</v>
      </c>
      <c r="AA15" t="s">
        <v>107</v>
      </c>
      <c r="AB15" t="s">
        <v>154</v>
      </c>
      <c r="AC15" t="s">
        <v>81</v>
      </c>
      <c r="AD15" t="str">
        <f>+Tabla1[[#This Row],[DESCRIPCIÓN DE MERCANCÍA 1]]</f>
        <v>A550019</v>
      </c>
      <c r="AE15" t="s">
        <v>107</v>
      </c>
      <c r="AG15">
        <v>1653.38</v>
      </c>
      <c r="AH15">
        <v>75</v>
      </c>
      <c r="AI15">
        <v>16.53</v>
      </c>
      <c r="AJ15">
        <v>1744.92</v>
      </c>
      <c r="AK15">
        <v>0</v>
      </c>
      <c r="AL15">
        <v>279.19</v>
      </c>
      <c r="AM15">
        <v>34.9</v>
      </c>
      <c r="AN15">
        <v>4.37</v>
      </c>
      <c r="AO15">
        <v>4.53</v>
      </c>
      <c r="AP15">
        <v>18</v>
      </c>
      <c r="AQ15" t="s">
        <v>82</v>
      </c>
      <c r="AR15">
        <v>96.94</v>
      </c>
      <c r="AS15">
        <v>18</v>
      </c>
      <c r="AT15" t="s">
        <v>107</v>
      </c>
      <c r="AU15" t="s">
        <v>84</v>
      </c>
      <c r="AV15">
        <v>0</v>
      </c>
      <c r="AW15" t="s">
        <v>85</v>
      </c>
      <c r="AY15" t="s">
        <v>87</v>
      </c>
      <c r="AZ15" t="s">
        <v>155</v>
      </c>
      <c r="BA15" t="s">
        <v>89</v>
      </c>
      <c r="BB15" t="s">
        <v>90</v>
      </c>
      <c r="BC15">
        <v>5902</v>
      </c>
      <c r="BD15">
        <v>20240303</v>
      </c>
      <c r="BE15">
        <v>91.853999999999999</v>
      </c>
      <c r="BG15">
        <v>5706124830</v>
      </c>
      <c r="BH15">
        <v>20240227</v>
      </c>
      <c r="BJ15" t="s">
        <v>89</v>
      </c>
      <c r="BK15" t="s">
        <v>91</v>
      </c>
    </row>
    <row r="16" spans="1:64" ht="12.75" x14ac:dyDescent="0.2">
      <c r="A16">
        <v>6</v>
      </c>
      <c r="B16">
        <v>3</v>
      </c>
      <c r="C16">
        <v>2024</v>
      </c>
      <c r="D16" t="s">
        <v>148</v>
      </c>
      <c r="E16">
        <v>3</v>
      </c>
      <c r="F16" t="s">
        <v>65</v>
      </c>
      <c r="G16" t="s">
        <v>66</v>
      </c>
      <c r="H16">
        <v>20550731399</v>
      </c>
      <c r="I16" t="s">
        <v>67</v>
      </c>
      <c r="J16" t="s">
        <v>68</v>
      </c>
      <c r="K16" t="s">
        <v>69</v>
      </c>
      <c r="L16" t="s">
        <v>69</v>
      </c>
      <c r="M16" t="s">
        <v>70</v>
      </c>
      <c r="N16" t="s">
        <v>71</v>
      </c>
      <c r="O16" t="s">
        <v>71</v>
      </c>
      <c r="P16" t="s">
        <v>72</v>
      </c>
      <c r="Q16" t="s">
        <v>73</v>
      </c>
      <c r="R16" t="s">
        <v>117</v>
      </c>
      <c r="S16" t="s">
        <v>149</v>
      </c>
      <c r="T16" t="s">
        <v>150</v>
      </c>
      <c r="U16">
        <v>8487902000</v>
      </c>
      <c r="V16" t="s">
        <v>157</v>
      </c>
      <c r="W16" t="s">
        <v>158</v>
      </c>
      <c r="X16" t="s">
        <v>1418</v>
      </c>
      <c r="Y16" t="s">
        <v>159</v>
      </c>
      <c r="Z16" t="s">
        <v>160</v>
      </c>
      <c r="AA16" t="s">
        <v>107</v>
      </c>
      <c r="AB16" t="s">
        <v>160</v>
      </c>
      <c r="AC16" t="s">
        <v>81</v>
      </c>
      <c r="AD16" t="str">
        <f>+Tabla1[[#This Row],[DESCRIPCIÓN DE MERCANCÍA 1]]</f>
        <v>A601985</v>
      </c>
      <c r="AE16" t="s">
        <v>107</v>
      </c>
      <c r="AG16">
        <v>389.57</v>
      </c>
      <c r="AH16">
        <v>17.670000000000002</v>
      </c>
      <c r="AI16">
        <v>3.9</v>
      </c>
      <c r="AJ16">
        <v>411.14</v>
      </c>
      <c r="AK16">
        <v>0</v>
      </c>
      <c r="AL16">
        <v>65.78</v>
      </c>
      <c r="AM16">
        <v>8.2200000000000006</v>
      </c>
      <c r="AN16">
        <v>1.03</v>
      </c>
      <c r="AO16">
        <v>1.07</v>
      </c>
      <c r="AP16">
        <v>2</v>
      </c>
      <c r="AQ16" t="s">
        <v>82</v>
      </c>
      <c r="AR16">
        <v>205.57</v>
      </c>
      <c r="AS16">
        <v>2</v>
      </c>
      <c r="AT16" t="s">
        <v>107</v>
      </c>
      <c r="AU16" t="s">
        <v>84</v>
      </c>
      <c r="AV16">
        <v>0</v>
      </c>
      <c r="AW16" t="s">
        <v>85</v>
      </c>
      <c r="AY16" t="s">
        <v>87</v>
      </c>
      <c r="AZ16" t="s">
        <v>155</v>
      </c>
      <c r="BA16" t="s">
        <v>89</v>
      </c>
      <c r="BB16" t="s">
        <v>90</v>
      </c>
      <c r="BC16">
        <v>5902</v>
      </c>
      <c r="BD16">
        <v>20240303</v>
      </c>
      <c r="BE16">
        <v>194.785</v>
      </c>
      <c r="BG16">
        <v>5706124830</v>
      </c>
      <c r="BH16">
        <v>20240227</v>
      </c>
      <c r="BJ16" t="s">
        <v>89</v>
      </c>
      <c r="BK16" t="s">
        <v>91</v>
      </c>
    </row>
    <row r="17" spans="1:63" ht="12.75" x14ac:dyDescent="0.2">
      <c r="A17">
        <v>8</v>
      </c>
      <c r="B17">
        <v>3</v>
      </c>
      <c r="C17">
        <v>2024</v>
      </c>
      <c r="D17" t="s">
        <v>161</v>
      </c>
      <c r="E17">
        <v>1</v>
      </c>
      <c r="F17" t="s">
        <v>65</v>
      </c>
      <c r="G17" t="s">
        <v>66</v>
      </c>
      <c r="H17">
        <v>20550731399</v>
      </c>
      <c r="I17" t="s">
        <v>67</v>
      </c>
      <c r="J17" t="s">
        <v>68</v>
      </c>
      <c r="K17" t="s">
        <v>69</v>
      </c>
      <c r="L17" t="s">
        <v>69</v>
      </c>
      <c r="M17" t="s">
        <v>70</v>
      </c>
      <c r="N17" t="s">
        <v>71</v>
      </c>
      <c r="O17" t="s">
        <v>71</v>
      </c>
      <c r="P17" t="s">
        <v>72</v>
      </c>
      <c r="Q17" t="s">
        <v>162</v>
      </c>
      <c r="R17" t="s">
        <v>74</v>
      </c>
      <c r="S17" t="s">
        <v>74</v>
      </c>
      <c r="T17" t="s">
        <v>163</v>
      </c>
      <c r="U17">
        <v>8412290000</v>
      </c>
      <c r="V17" t="s">
        <v>164</v>
      </c>
      <c r="W17" t="s">
        <v>165</v>
      </c>
      <c r="X17" t="s">
        <v>166</v>
      </c>
      <c r="Z17" t="s">
        <v>167</v>
      </c>
      <c r="AB17" t="s">
        <v>167</v>
      </c>
      <c r="AC17" t="s">
        <v>81</v>
      </c>
      <c r="AD17" t="s">
        <v>168</v>
      </c>
      <c r="AE17" t="s">
        <v>167</v>
      </c>
      <c r="AG17">
        <v>2554</v>
      </c>
      <c r="AH17">
        <v>147</v>
      </c>
      <c r="AI17">
        <v>25.54</v>
      </c>
      <c r="AJ17">
        <v>2726.54</v>
      </c>
      <c r="AK17">
        <v>0</v>
      </c>
      <c r="AL17">
        <v>436.25</v>
      </c>
      <c r="AM17">
        <v>54.53</v>
      </c>
      <c r="AN17">
        <v>93.1</v>
      </c>
      <c r="AO17">
        <v>97.6</v>
      </c>
      <c r="AP17">
        <v>7</v>
      </c>
      <c r="AQ17" t="s">
        <v>82</v>
      </c>
      <c r="AR17">
        <v>389.51</v>
      </c>
      <c r="AS17">
        <v>7</v>
      </c>
      <c r="AT17" t="s">
        <v>107</v>
      </c>
      <c r="AU17" t="s">
        <v>84</v>
      </c>
      <c r="AV17">
        <v>1</v>
      </c>
      <c r="AW17" t="s">
        <v>85</v>
      </c>
      <c r="AY17" t="s">
        <v>108</v>
      </c>
      <c r="AZ17" t="s">
        <v>169</v>
      </c>
      <c r="BA17" t="s">
        <v>170</v>
      </c>
      <c r="BB17" t="s">
        <v>90</v>
      </c>
      <c r="BC17">
        <v>5578</v>
      </c>
      <c r="BD17">
        <v>20240310</v>
      </c>
      <c r="BE17">
        <v>364.85700000000003</v>
      </c>
      <c r="BG17">
        <v>424200279</v>
      </c>
      <c r="BH17">
        <v>20240307</v>
      </c>
      <c r="BJ17" t="s">
        <v>112</v>
      </c>
      <c r="BK17" t="s">
        <v>171</v>
      </c>
    </row>
    <row r="18" spans="1:63" ht="12.75" x14ac:dyDescent="0.2">
      <c r="A18">
        <v>2</v>
      </c>
      <c r="B18">
        <v>4</v>
      </c>
      <c r="C18">
        <v>2024</v>
      </c>
      <c r="D18" t="s">
        <v>172</v>
      </c>
      <c r="E18">
        <v>2</v>
      </c>
      <c r="F18" t="s">
        <v>65</v>
      </c>
      <c r="G18" t="s">
        <v>66</v>
      </c>
      <c r="H18">
        <v>20550731399</v>
      </c>
      <c r="I18" t="s">
        <v>67</v>
      </c>
      <c r="J18" t="s">
        <v>68</v>
      </c>
      <c r="K18" t="s">
        <v>69</v>
      </c>
      <c r="L18" t="s">
        <v>69</v>
      </c>
      <c r="M18" t="s">
        <v>70</v>
      </c>
      <c r="N18" t="s">
        <v>71</v>
      </c>
      <c r="O18" t="s">
        <v>71</v>
      </c>
      <c r="P18" t="s">
        <v>72</v>
      </c>
      <c r="Q18" t="s">
        <v>73</v>
      </c>
      <c r="R18" t="s">
        <v>74</v>
      </c>
      <c r="S18" t="s">
        <v>74</v>
      </c>
      <c r="T18" t="s">
        <v>163</v>
      </c>
      <c r="U18">
        <v>8413190000</v>
      </c>
      <c r="V18" t="s">
        <v>100</v>
      </c>
      <c r="W18" t="s">
        <v>173</v>
      </c>
      <c r="X18" t="s">
        <v>174</v>
      </c>
      <c r="Y18" t="s">
        <v>175</v>
      </c>
      <c r="Z18" t="s">
        <v>176</v>
      </c>
      <c r="AB18" t="s">
        <v>176</v>
      </c>
      <c r="AC18" t="s">
        <v>177</v>
      </c>
      <c r="AD18">
        <v>4535</v>
      </c>
      <c r="AE18" t="s">
        <v>176</v>
      </c>
      <c r="AG18">
        <v>2465.64</v>
      </c>
      <c r="AH18">
        <v>92.39</v>
      </c>
      <c r="AI18">
        <v>24.66</v>
      </c>
      <c r="AJ18">
        <v>2582.69</v>
      </c>
      <c r="AK18">
        <v>0</v>
      </c>
      <c r="AL18">
        <v>413.23</v>
      </c>
      <c r="AM18">
        <v>51.65</v>
      </c>
      <c r="AN18">
        <v>73.14</v>
      </c>
      <c r="AO18">
        <v>76.84</v>
      </c>
      <c r="AP18">
        <v>2</v>
      </c>
      <c r="AQ18" t="s">
        <v>82</v>
      </c>
      <c r="AR18">
        <v>1291.3499999999999</v>
      </c>
      <c r="AS18">
        <v>2</v>
      </c>
      <c r="AT18" t="s">
        <v>107</v>
      </c>
      <c r="AU18" t="s">
        <v>84</v>
      </c>
      <c r="AV18">
        <v>0</v>
      </c>
      <c r="AW18" t="s">
        <v>85</v>
      </c>
      <c r="AY18" t="s">
        <v>108</v>
      </c>
      <c r="AZ18" t="s">
        <v>169</v>
      </c>
      <c r="BA18" t="s">
        <v>170</v>
      </c>
      <c r="BB18" t="s">
        <v>90</v>
      </c>
      <c r="BC18">
        <v>8090</v>
      </c>
      <c r="BD18">
        <v>20240403</v>
      </c>
      <c r="BE18">
        <v>1232.82</v>
      </c>
      <c r="BG18">
        <v>424200373</v>
      </c>
      <c r="BH18">
        <v>20240401</v>
      </c>
      <c r="BJ18" t="s">
        <v>112</v>
      </c>
      <c r="BK18" t="s">
        <v>171</v>
      </c>
    </row>
    <row r="19" spans="1:63" ht="12.75" x14ac:dyDescent="0.2">
      <c r="A19">
        <v>2</v>
      </c>
      <c r="B19">
        <v>4</v>
      </c>
      <c r="C19">
        <v>2024</v>
      </c>
      <c r="D19" t="s">
        <v>172</v>
      </c>
      <c r="E19">
        <v>5</v>
      </c>
      <c r="F19" t="s">
        <v>65</v>
      </c>
      <c r="G19" t="s">
        <v>66</v>
      </c>
      <c r="H19">
        <v>20550731399</v>
      </c>
      <c r="I19" t="s">
        <v>67</v>
      </c>
      <c r="J19" t="s">
        <v>68</v>
      </c>
      <c r="K19" t="s">
        <v>69</v>
      </c>
      <c r="L19" t="s">
        <v>69</v>
      </c>
      <c r="M19" t="s">
        <v>70</v>
      </c>
      <c r="N19" t="s">
        <v>71</v>
      </c>
      <c r="O19" t="s">
        <v>71</v>
      </c>
      <c r="P19" t="s">
        <v>72</v>
      </c>
      <c r="Q19" t="s">
        <v>73</v>
      </c>
      <c r="R19" t="s">
        <v>74</v>
      </c>
      <c r="S19" t="s">
        <v>74</v>
      </c>
      <c r="T19" t="s">
        <v>163</v>
      </c>
      <c r="U19">
        <v>8412900000</v>
      </c>
      <c r="V19" t="s">
        <v>129</v>
      </c>
      <c r="W19" t="s">
        <v>178</v>
      </c>
      <c r="X19" t="s">
        <v>179</v>
      </c>
      <c r="Y19" t="s">
        <v>180</v>
      </c>
      <c r="Z19" t="s">
        <v>181</v>
      </c>
      <c r="AB19" t="s">
        <v>79</v>
      </c>
      <c r="AC19" t="s">
        <v>177</v>
      </c>
      <c r="AD19" t="s">
        <v>1396</v>
      </c>
      <c r="AE19" t="s">
        <v>181</v>
      </c>
      <c r="AG19">
        <v>95.09</v>
      </c>
      <c r="AH19">
        <v>3.56</v>
      </c>
      <c r="AI19">
        <v>0.95</v>
      </c>
      <c r="AJ19">
        <v>99.6</v>
      </c>
      <c r="AK19">
        <v>0</v>
      </c>
      <c r="AL19">
        <v>15.94</v>
      </c>
      <c r="AM19">
        <v>1.99</v>
      </c>
      <c r="AN19">
        <v>2.82</v>
      </c>
      <c r="AO19">
        <v>2.96</v>
      </c>
      <c r="AP19">
        <v>10</v>
      </c>
      <c r="AQ19" t="s">
        <v>82</v>
      </c>
      <c r="AR19">
        <v>9.9600000000000009</v>
      </c>
      <c r="AS19">
        <v>10</v>
      </c>
      <c r="AT19" t="s">
        <v>107</v>
      </c>
      <c r="AU19" t="s">
        <v>84</v>
      </c>
      <c r="AV19">
        <v>0</v>
      </c>
      <c r="AW19" t="s">
        <v>85</v>
      </c>
      <c r="AY19" t="s">
        <v>108</v>
      </c>
      <c r="AZ19" t="s">
        <v>169</v>
      </c>
      <c r="BA19" t="s">
        <v>170</v>
      </c>
      <c r="BB19" t="s">
        <v>90</v>
      </c>
      <c r="BC19">
        <v>8090</v>
      </c>
      <c r="BD19">
        <v>20240403</v>
      </c>
      <c r="BE19">
        <v>9.5090000000000003</v>
      </c>
      <c r="BG19">
        <v>424200373</v>
      </c>
      <c r="BH19">
        <v>20240401</v>
      </c>
      <c r="BJ19" t="s">
        <v>112</v>
      </c>
      <c r="BK19" t="s">
        <v>171</v>
      </c>
    </row>
    <row r="20" spans="1:63" ht="12.75" x14ac:dyDescent="0.2">
      <c r="A20">
        <v>2</v>
      </c>
      <c r="B20">
        <v>4</v>
      </c>
      <c r="C20">
        <v>2024</v>
      </c>
      <c r="D20" t="s">
        <v>172</v>
      </c>
      <c r="E20">
        <v>3</v>
      </c>
      <c r="F20" t="s">
        <v>65</v>
      </c>
      <c r="G20" t="s">
        <v>66</v>
      </c>
      <c r="H20">
        <v>20550731399</v>
      </c>
      <c r="I20" t="s">
        <v>67</v>
      </c>
      <c r="J20" t="s">
        <v>68</v>
      </c>
      <c r="K20" t="s">
        <v>69</v>
      </c>
      <c r="L20" t="s">
        <v>69</v>
      </c>
      <c r="M20" t="s">
        <v>70</v>
      </c>
      <c r="N20" t="s">
        <v>71</v>
      </c>
      <c r="O20" t="s">
        <v>71</v>
      </c>
      <c r="P20" t="s">
        <v>72</v>
      </c>
      <c r="Q20" t="s">
        <v>73</v>
      </c>
      <c r="R20" t="s">
        <v>74</v>
      </c>
      <c r="S20" t="s">
        <v>74</v>
      </c>
      <c r="T20" t="s">
        <v>163</v>
      </c>
      <c r="U20">
        <v>8413190000</v>
      </c>
      <c r="V20" t="s">
        <v>100</v>
      </c>
      <c r="W20" t="s">
        <v>182</v>
      </c>
      <c r="X20" t="s">
        <v>183</v>
      </c>
      <c r="Y20" t="s">
        <v>184</v>
      </c>
      <c r="Z20" t="s">
        <v>176</v>
      </c>
      <c r="AB20" t="s">
        <v>176</v>
      </c>
      <c r="AC20" t="s">
        <v>177</v>
      </c>
      <c r="AD20" t="s">
        <v>185</v>
      </c>
      <c r="AE20" t="s">
        <v>176</v>
      </c>
      <c r="AG20">
        <v>2739.76</v>
      </c>
      <c r="AH20">
        <v>102.67</v>
      </c>
      <c r="AI20">
        <v>27.4</v>
      </c>
      <c r="AJ20">
        <v>2869.82</v>
      </c>
      <c r="AK20">
        <v>0</v>
      </c>
      <c r="AL20">
        <v>459.17</v>
      </c>
      <c r="AM20">
        <v>57.4</v>
      </c>
      <c r="AN20">
        <v>81.28</v>
      </c>
      <c r="AO20">
        <v>85.39</v>
      </c>
      <c r="AP20">
        <v>1</v>
      </c>
      <c r="AQ20" t="s">
        <v>82</v>
      </c>
      <c r="AR20">
        <v>2869.82</v>
      </c>
      <c r="AS20">
        <v>1</v>
      </c>
      <c r="AT20" t="s">
        <v>107</v>
      </c>
      <c r="AU20" t="s">
        <v>84</v>
      </c>
      <c r="AV20">
        <v>0</v>
      </c>
      <c r="AW20" t="s">
        <v>85</v>
      </c>
      <c r="AY20" t="s">
        <v>108</v>
      </c>
      <c r="AZ20" t="s">
        <v>169</v>
      </c>
      <c r="BA20" t="s">
        <v>170</v>
      </c>
      <c r="BB20" t="s">
        <v>90</v>
      </c>
      <c r="BC20">
        <v>8090</v>
      </c>
      <c r="BD20">
        <v>20240403</v>
      </c>
      <c r="BE20">
        <v>2739.76</v>
      </c>
      <c r="BG20">
        <v>424200373</v>
      </c>
      <c r="BH20">
        <v>20240401</v>
      </c>
      <c r="BJ20" t="s">
        <v>112</v>
      </c>
      <c r="BK20" t="s">
        <v>171</v>
      </c>
    </row>
    <row r="21" spans="1:63" ht="12.75" x14ac:dyDescent="0.2">
      <c r="A21">
        <v>2</v>
      </c>
      <c r="B21">
        <v>4</v>
      </c>
      <c r="C21">
        <v>2024</v>
      </c>
      <c r="D21" t="s">
        <v>172</v>
      </c>
      <c r="E21">
        <v>1</v>
      </c>
      <c r="F21" t="s">
        <v>65</v>
      </c>
      <c r="G21" t="s">
        <v>66</v>
      </c>
      <c r="H21">
        <v>20550731399</v>
      </c>
      <c r="I21" t="s">
        <v>67</v>
      </c>
      <c r="J21" t="s">
        <v>68</v>
      </c>
      <c r="K21" t="s">
        <v>69</v>
      </c>
      <c r="L21" t="s">
        <v>69</v>
      </c>
      <c r="M21" t="s">
        <v>70</v>
      </c>
      <c r="N21" t="s">
        <v>71</v>
      </c>
      <c r="O21" t="s">
        <v>71</v>
      </c>
      <c r="P21" t="s">
        <v>72</v>
      </c>
      <c r="Q21" t="s">
        <v>73</v>
      </c>
      <c r="R21" t="s">
        <v>74</v>
      </c>
      <c r="S21" t="s">
        <v>74</v>
      </c>
      <c r="T21" t="s">
        <v>163</v>
      </c>
      <c r="U21">
        <v>8481909000</v>
      </c>
      <c r="V21" t="s">
        <v>186</v>
      </c>
      <c r="W21" t="s">
        <v>187</v>
      </c>
      <c r="X21" t="s">
        <v>1419</v>
      </c>
      <c r="Z21" t="s">
        <v>188</v>
      </c>
      <c r="AB21" t="s">
        <v>189</v>
      </c>
      <c r="AC21" t="s">
        <v>190</v>
      </c>
      <c r="AD21" t="str">
        <f>+Tabla1[[#This Row],[DESCRIPCIÓN DE MERCANCÍA 1]]</f>
        <v>NW231132</v>
      </c>
      <c r="AE21" t="s">
        <v>188</v>
      </c>
      <c r="AG21">
        <v>24.85</v>
      </c>
      <c r="AH21">
        <v>0.93</v>
      </c>
      <c r="AI21">
        <v>0.25</v>
      </c>
      <c r="AJ21">
        <v>26.03</v>
      </c>
      <c r="AK21">
        <v>0</v>
      </c>
      <c r="AL21">
        <v>4.16</v>
      </c>
      <c r="AM21">
        <v>0.52</v>
      </c>
      <c r="AN21">
        <v>0.74</v>
      </c>
      <c r="AO21">
        <v>0.77</v>
      </c>
      <c r="AP21">
        <v>1</v>
      </c>
      <c r="AQ21" t="s">
        <v>82</v>
      </c>
      <c r="AR21">
        <v>26.03</v>
      </c>
      <c r="AS21">
        <v>1</v>
      </c>
      <c r="AT21" t="s">
        <v>107</v>
      </c>
      <c r="AU21" t="s">
        <v>84</v>
      </c>
      <c r="AV21">
        <v>1</v>
      </c>
      <c r="AW21" t="s">
        <v>85</v>
      </c>
      <c r="AY21" t="s">
        <v>108</v>
      </c>
      <c r="AZ21" t="s">
        <v>169</v>
      </c>
      <c r="BA21" t="s">
        <v>170</v>
      </c>
      <c r="BB21" t="s">
        <v>90</v>
      </c>
      <c r="BC21">
        <v>8090</v>
      </c>
      <c r="BD21">
        <v>20240403</v>
      </c>
      <c r="BE21">
        <v>24.85</v>
      </c>
      <c r="BG21">
        <v>424200373</v>
      </c>
      <c r="BH21">
        <v>20240401</v>
      </c>
      <c r="BJ21" t="s">
        <v>112</v>
      </c>
      <c r="BK21" t="s">
        <v>171</v>
      </c>
    </row>
    <row r="22" spans="1:63" ht="12.75" x14ac:dyDescent="0.2">
      <c r="A22">
        <v>2</v>
      </c>
      <c r="B22">
        <v>4</v>
      </c>
      <c r="C22">
        <v>2024</v>
      </c>
      <c r="D22" t="s">
        <v>172</v>
      </c>
      <c r="E22">
        <v>4</v>
      </c>
      <c r="F22" t="s">
        <v>65</v>
      </c>
      <c r="G22" t="s">
        <v>66</v>
      </c>
      <c r="H22">
        <v>20550731399</v>
      </c>
      <c r="I22" t="s">
        <v>67</v>
      </c>
      <c r="J22" t="s">
        <v>68</v>
      </c>
      <c r="K22" t="s">
        <v>69</v>
      </c>
      <c r="L22" t="s">
        <v>69</v>
      </c>
      <c r="M22" t="s">
        <v>70</v>
      </c>
      <c r="N22" t="s">
        <v>71</v>
      </c>
      <c r="O22" t="s">
        <v>71</v>
      </c>
      <c r="P22" t="s">
        <v>72</v>
      </c>
      <c r="Q22" t="s">
        <v>73</v>
      </c>
      <c r="R22" t="s">
        <v>74</v>
      </c>
      <c r="S22" t="s">
        <v>74</v>
      </c>
      <c r="T22" t="s">
        <v>163</v>
      </c>
      <c r="U22">
        <v>8412900000</v>
      </c>
      <c r="V22" t="s">
        <v>129</v>
      </c>
      <c r="W22" t="s">
        <v>191</v>
      </c>
      <c r="X22" t="s">
        <v>192</v>
      </c>
      <c r="Z22" t="s">
        <v>193</v>
      </c>
      <c r="AB22" t="s">
        <v>194</v>
      </c>
      <c r="AC22" t="s">
        <v>177</v>
      </c>
      <c r="AD22" t="s">
        <v>195</v>
      </c>
      <c r="AE22" t="s">
        <v>193</v>
      </c>
      <c r="AG22">
        <v>1175.3800000000001</v>
      </c>
      <c r="AH22">
        <v>44.05</v>
      </c>
      <c r="AI22">
        <v>11.75</v>
      </c>
      <c r="AJ22">
        <v>1231.18</v>
      </c>
      <c r="AK22">
        <v>0</v>
      </c>
      <c r="AL22">
        <v>196.99</v>
      </c>
      <c r="AM22">
        <v>24.62</v>
      </c>
      <c r="AN22">
        <v>34.869999999999997</v>
      </c>
      <c r="AO22">
        <v>36.630000000000003</v>
      </c>
      <c r="AP22">
        <v>6</v>
      </c>
      <c r="AQ22" t="s">
        <v>82</v>
      </c>
      <c r="AR22">
        <v>205.2</v>
      </c>
      <c r="AS22">
        <v>6</v>
      </c>
      <c r="AT22" t="s">
        <v>107</v>
      </c>
      <c r="AU22" t="s">
        <v>84</v>
      </c>
      <c r="AV22">
        <v>0</v>
      </c>
      <c r="AW22" t="s">
        <v>85</v>
      </c>
      <c r="AY22" t="s">
        <v>108</v>
      </c>
      <c r="AZ22" t="s">
        <v>169</v>
      </c>
      <c r="BA22" t="s">
        <v>170</v>
      </c>
      <c r="BB22" t="s">
        <v>90</v>
      </c>
      <c r="BC22">
        <v>8090</v>
      </c>
      <c r="BD22">
        <v>20240403</v>
      </c>
      <c r="BE22">
        <v>195.89699999999999</v>
      </c>
      <c r="BG22">
        <v>424200373</v>
      </c>
      <c r="BH22">
        <v>20240401</v>
      </c>
      <c r="BJ22" t="s">
        <v>112</v>
      </c>
      <c r="BK22" t="s">
        <v>171</v>
      </c>
    </row>
    <row r="23" spans="1:63" ht="12.75" x14ac:dyDescent="0.2">
      <c r="A23">
        <v>11</v>
      </c>
      <c r="B23">
        <v>4</v>
      </c>
      <c r="C23">
        <v>2024</v>
      </c>
      <c r="D23" t="s">
        <v>196</v>
      </c>
      <c r="E23">
        <v>1</v>
      </c>
      <c r="F23" t="s">
        <v>65</v>
      </c>
      <c r="G23" t="s">
        <v>66</v>
      </c>
      <c r="H23">
        <v>20550731399</v>
      </c>
      <c r="I23" t="s">
        <v>67</v>
      </c>
      <c r="J23" t="s">
        <v>68</v>
      </c>
      <c r="K23" t="s">
        <v>69</v>
      </c>
      <c r="L23" t="s">
        <v>69</v>
      </c>
      <c r="M23" t="s">
        <v>70</v>
      </c>
      <c r="N23" t="s">
        <v>71</v>
      </c>
      <c r="O23" t="s">
        <v>71</v>
      </c>
      <c r="P23" t="s">
        <v>72</v>
      </c>
      <c r="Q23" t="s">
        <v>73</v>
      </c>
      <c r="R23" t="s">
        <v>74</v>
      </c>
      <c r="S23" t="s">
        <v>74</v>
      </c>
      <c r="T23" t="s">
        <v>75</v>
      </c>
      <c r="U23">
        <v>8483109900</v>
      </c>
      <c r="V23" t="s">
        <v>197</v>
      </c>
      <c r="W23" t="s">
        <v>191</v>
      </c>
      <c r="X23" t="s">
        <v>194</v>
      </c>
      <c r="Y23" t="s">
        <v>198</v>
      </c>
      <c r="Z23" t="s">
        <v>107</v>
      </c>
      <c r="AA23" t="s">
        <v>199</v>
      </c>
      <c r="AB23" t="s">
        <v>194</v>
      </c>
      <c r="AC23" t="s">
        <v>177</v>
      </c>
      <c r="AD23" t="s">
        <v>195</v>
      </c>
      <c r="AE23" t="s">
        <v>199</v>
      </c>
      <c r="AG23">
        <v>750.6</v>
      </c>
      <c r="AH23">
        <v>42.84</v>
      </c>
      <c r="AI23">
        <v>7.51</v>
      </c>
      <c r="AJ23">
        <v>800.94</v>
      </c>
      <c r="AK23">
        <v>0</v>
      </c>
      <c r="AL23">
        <v>128.15</v>
      </c>
      <c r="AM23">
        <v>16.02</v>
      </c>
      <c r="AN23">
        <v>6.18</v>
      </c>
      <c r="AO23">
        <v>6.5</v>
      </c>
      <c r="AP23">
        <v>4</v>
      </c>
      <c r="AQ23" t="s">
        <v>82</v>
      </c>
      <c r="AR23">
        <v>200.24</v>
      </c>
      <c r="AS23">
        <v>4</v>
      </c>
      <c r="AT23" t="s">
        <v>107</v>
      </c>
      <c r="AU23" t="s">
        <v>84</v>
      </c>
      <c r="AV23">
        <v>2</v>
      </c>
      <c r="AW23" t="s">
        <v>85</v>
      </c>
      <c r="AY23" t="s">
        <v>87</v>
      </c>
      <c r="AZ23" t="s">
        <v>88</v>
      </c>
      <c r="BA23" t="s">
        <v>89</v>
      </c>
      <c r="BB23" t="s">
        <v>200</v>
      </c>
      <c r="BC23">
        <v>7929</v>
      </c>
      <c r="BD23">
        <v>20240412</v>
      </c>
      <c r="BE23">
        <v>187.65</v>
      </c>
      <c r="BG23">
        <v>8306518990</v>
      </c>
      <c r="BH23">
        <v>20240410</v>
      </c>
      <c r="BJ23" t="s">
        <v>89</v>
      </c>
      <c r="BK23" t="s">
        <v>171</v>
      </c>
    </row>
    <row r="24" spans="1:63" ht="12.75" x14ac:dyDescent="0.2">
      <c r="A24">
        <v>11</v>
      </c>
      <c r="B24">
        <v>4</v>
      </c>
      <c r="C24">
        <v>2024</v>
      </c>
      <c r="D24" t="s">
        <v>196</v>
      </c>
      <c r="E24">
        <v>2</v>
      </c>
      <c r="F24" t="s">
        <v>65</v>
      </c>
      <c r="G24" t="s">
        <v>66</v>
      </c>
      <c r="H24">
        <v>20550731399</v>
      </c>
      <c r="I24" t="s">
        <v>67</v>
      </c>
      <c r="J24" t="s">
        <v>68</v>
      </c>
      <c r="K24" t="s">
        <v>69</v>
      </c>
      <c r="L24" t="s">
        <v>69</v>
      </c>
      <c r="M24" t="s">
        <v>70</v>
      </c>
      <c r="N24" t="s">
        <v>71</v>
      </c>
      <c r="O24" t="s">
        <v>71</v>
      </c>
      <c r="P24" t="s">
        <v>72</v>
      </c>
      <c r="Q24" t="s">
        <v>73</v>
      </c>
      <c r="R24" t="s">
        <v>74</v>
      </c>
      <c r="S24" t="s">
        <v>74</v>
      </c>
      <c r="T24" t="s">
        <v>75</v>
      </c>
      <c r="U24">
        <v>8484900000</v>
      </c>
      <c r="V24" t="s">
        <v>135</v>
      </c>
      <c r="W24" t="s">
        <v>201</v>
      </c>
      <c r="X24" t="s">
        <v>79</v>
      </c>
      <c r="Y24" t="s">
        <v>202</v>
      </c>
      <c r="Z24" t="s">
        <v>80</v>
      </c>
      <c r="AA24" t="s">
        <v>203</v>
      </c>
      <c r="AB24" t="s">
        <v>79</v>
      </c>
      <c r="AC24" t="s">
        <v>177</v>
      </c>
      <c r="AD24">
        <v>687588</v>
      </c>
      <c r="AE24" t="s">
        <v>203</v>
      </c>
      <c r="AG24">
        <v>1457.88</v>
      </c>
      <c r="AH24">
        <v>83.2</v>
      </c>
      <c r="AI24">
        <v>14.58</v>
      </c>
      <c r="AJ24">
        <v>1555.66</v>
      </c>
      <c r="AK24">
        <v>93.34</v>
      </c>
      <c r="AL24">
        <v>263.83999999999997</v>
      </c>
      <c r="AM24">
        <v>32.979999999999997</v>
      </c>
      <c r="AN24">
        <v>12.01</v>
      </c>
      <c r="AO24">
        <v>12.62</v>
      </c>
      <c r="AP24">
        <v>4</v>
      </c>
      <c r="AQ24" t="s">
        <v>82</v>
      </c>
      <c r="AR24">
        <v>388.91</v>
      </c>
      <c r="AS24">
        <v>4</v>
      </c>
      <c r="AT24" t="s">
        <v>107</v>
      </c>
      <c r="AU24" t="s">
        <v>84</v>
      </c>
      <c r="AV24">
        <v>0</v>
      </c>
      <c r="AW24" t="s">
        <v>85</v>
      </c>
      <c r="AY24" t="s">
        <v>87</v>
      </c>
      <c r="AZ24" t="s">
        <v>88</v>
      </c>
      <c r="BA24" t="s">
        <v>89</v>
      </c>
      <c r="BB24" t="s">
        <v>200</v>
      </c>
      <c r="BC24">
        <v>7929</v>
      </c>
      <c r="BD24">
        <v>20240412</v>
      </c>
      <c r="BE24">
        <v>364.47</v>
      </c>
      <c r="BG24">
        <v>8306518990</v>
      </c>
      <c r="BH24">
        <v>20240410</v>
      </c>
      <c r="BJ24" t="s">
        <v>89</v>
      </c>
      <c r="BK24" t="s">
        <v>171</v>
      </c>
    </row>
    <row r="25" spans="1:63" ht="12.75" x14ac:dyDescent="0.2">
      <c r="A25">
        <v>11</v>
      </c>
      <c r="B25">
        <v>4</v>
      </c>
      <c r="C25">
        <v>2024</v>
      </c>
      <c r="D25" t="s">
        <v>196</v>
      </c>
      <c r="E25">
        <v>3</v>
      </c>
      <c r="F25" t="s">
        <v>65</v>
      </c>
      <c r="G25" t="s">
        <v>66</v>
      </c>
      <c r="H25">
        <v>20550731399</v>
      </c>
      <c r="I25" t="s">
        <v>67</v>
      </c>
      <c r="J25" t="s">
        <v>68</v>
      </c>
      <c r="K25" t="s">
        <v>69</v>
      </c>
      <c r="L25" t="s">
        <v>69</v>
      </c>
      <c r="M25" t="s">
        <v>70</v>
      </c>
      <c r="N25" t="s">
        <v>71</v>
      </c>
      <c r="O25" t="s">
        <v>71</v>
      </c>
      <c r="P25" t="s">
        <v>72</v>
      </c>
      <c r="Q25" t="s">
        <v>73</v>
      </c>
      <c r="R25" t="s">
        <v>74</v>
      </c>
      <c r="S25" t="s">
        <v>74</v>
      </c>
      <c r="T25" t="s">
        <v>75</v>
      </c>
      <c r="U25">
        <v>8481809900</v>
      </c>
      <c r="V25" t="s">
        <v>204</v>
      </c>
      <c r="W25" t="s">
        <v>205</v>
      </c>
      <c r="X25" t="s">
        <v>206</v>
      </c>
      <c r="Y25" t="s">
        <v>207</v>
      </c>
      <c r="Z25" t="s">
        <v>107</v>
      </c>
      <c r="AA25" t="s">
        <v>208</v>
      </c>
      <c r="AB25" t="s">
        <v>206</v>
      </c>
      <c r="AC25" t="s">
        <v>177</v>
      </c>
      <c r="AD25" t="s">
        <v>1397</v>
      </c>
      <c r="AE25" t="s">
        <v>208</v>
      </c>
      <c r="AG25">
        <v>941.75</v>
      </c>
      <c r="AH25">
        <v>53.74</v>
      </c>
      <c r="AI25">
        <v>9.42</v>
      </c>
      <c r="AJ25">
        <v>1004.91</v>
      </c>
      <c r="AK25">
        <v>0</v>
      </c>
      <c r="AL25">
        <v>160.79</v>
      </c>
      <c r="AM25">
        <v>20.100000000000001</v>
      </c>
      <c r="AN25">
        <v>7.76</v>
      </c>
      <c r="AO25">
        <v>8.15</v>
      </c>
      <c r="AP25">
        <v>1</v>
      </c>
      <c r="AQ25" t="s">
        <v>82</v>
      </c>
      <c r="AR25">
        <v>1004.91</v>
      </c>
      <c r="AS25">
        <v>1</v>
      </c>
      <c r="AT25" t="s">
        <v>107</v>
      </c>
      <c r="AU25" t="s">
        <v>84</v>
      </c>
      <c r="AV25">
        <v>0</v>
      </c>
      <c r="AW25" t="s">
        <v>85</v>
      </c>
      <c r="AY25" t="s">
        <v>87</v>
      </c>
      <c r="AZ25" t="s">
        <v>88</v>
      </c>
      <c r="BA25" t="s">
        <v>89</v>
      </c>
      <c r="BB25" t="s">
        <v>200</v>
      </c>
      <c r="BC25">
        <v>7929</v>
      </c>
      <c r="BD25">
        <v>20240412</v>
      </c>
      <c r="BE25">
        <v>941.75</v>
      </c>
      <c r="BG25">
        <v>8306518990</v>
      </c>
      <c r="BH25">
        <v>20240410</v>
      </c>
      <c r="BJ25" t="s">
        <v>89</v>
      </c>
      <c r="BK25" t="s">
        <v>171</v>
      </c>
    </row>
    <row r="26" spans="1:63" ht="12.75" x14ac:dyDescent="0.2">
      <c r="A26">
        <v>12</v>
      </c>
      <c r="B26">
        <v>4</v>
      </c>
      <c r="C26">
        <v>2024</v>
      </c>
      <c r="D26" t="s">
        <v>209</v>
      </c>
      <c r="E26">
        <v>1</v>
      </c>
      <c r="F26" t="s">
        <v>65</v>
      </c>
      <c r="G26" t="s">
        <v>66</v>
      </c>
      <c r="H26">
        <v>20550731399</v>
      </c>
      <c r="I26" t="s">
        <v>67</v>
      </c>
      <c r="J26" t="s">
        <v>68</v>
      </c>
      <c r="K26" t="s">
        <v>69</v>
      </c>
      <c r="L26" t="s">
        <v>69</v>
      </c>
      <c r="M26" t="s">
        <v>70</v>
      </c>
      <c r="N26" t="s">
        <v>71</v>
      </c>
      <c r="O26" t="s">
        <v>71</v>
      </c>
      <c r="P26" t="s">
        <v>72</v>
      </c>
      <c r="Q26" t="s">
        <v>73</v>
      </c>
      <c r="R26" t="s">
        <v>74</v>
      </c>
      <c r="S26" t="s">
        <v>74</v>
      </c>
      <c r="T26" t="s">
        <v>163</v>
      </c>
      <c r="U26">
        <v>8412900000</v>
      </c>
      <c r="V26" t="s">
        <v>129</v>
      </c>
      <c r="W26" t="s">
        <v>210</v>
      </c>
      <c r="X26" t="s">
        <v>211</v>
      </c>
      <c r="Z26" t="s">
        <v>212</v>
      </c>
      <c r="AB26" t="s">
        <v>213</v>
      </c>
      <c r="AC26" t="s">
        <v>214</v>
      </c>
      <c r="AD26" t="str">
        <f>+Tabla1[[#This Row],[DESCRIPCIÓN DE MERCANCÍA 1]]</f>
        <v>2K57620029</v>
      </c>
      <c r="AE26" t="s">
        <v>212</v>
      </c>
      <c r="AG26">
        <v>6757</v>
      </c>
      <c r="AH26">
        <v>90</v>
      </c>
      <c r="AI26">
        <v>67.569999999999993</v>
      </c>
      <c r="AJ26">
        <v>6914.57</v>
      </c>
      <c r="AK26">
        <v>0</v>
      </c>
      <c r="AL26">
        <v>1106.33</v>
      </c>
      <c r="AM26">
        <v>138.29</v>
      </c>
      <c r="AN26">
        <v>26.6</v>
      </c>
      <c r="AO26">
        <v>27.8</v>
      </c>
      <c r="AP26">
        <v>1</v>
      </c>
      <c r="AQ26" t="s">
        <v>82</v>
      </c>
      <c r="AR26">
        <v>6914.57</v>
      </c>
      <c r="AS26">
        <v>1</v>
      </c>
      <c r="AT26" t="s">
        <v>107</v>
      </c>
      <c r="AU26" t="s">
        <v>84</v>
      </c>
      <c r="AV26">
        <v>1</v>
      </c>
      <c r="AW26" t="s">
        <v>85</v>
      </c>
      <c r="AX26" t="s">
        <v>215</v>
      </c>
      <c r="AY26" t="s">
        <v>108</v>
      </c>
      <c r="AZ26" t="s">
        <v>169</v>
      </c>
      <c r="BA26" t="s">
        <v>170</v>
      </c>
      <c r="BB26" t="s">
        <v>90</v>
      </c>
      <c r="BC26">
        <v>8094</v>
      </c>
      <c r="BD26">
        <v>20240413</v>
      </c>
      <c r="BE26">
        <v>6757</v>
      </c>
      <c r="BG26">
        <v>424200422</v>
      </c>
      <c r="BH26">
        <v>20240412</v>
      </c>
      <c r="BJ26" t="s">
        <v>112</v>
      </c>
      <c r="BK26" t="s">
        <v>171</v>
      </c>
    </row>
    <row r="27" spans="1:63" ht="12.75" x14ac:dyDescent="0.2">
      <c r="A27">
        <v>7</v>
      </c>
      <c r="B27">
        <v>5</v>
      </c>
      <c r="C27">
        <v>2024</v>
      </c>
      <c r="D27" t="s">
        <v>216</v>
      </c>
      <c r="E27">
        <v>1</v>
      </c>
      <c r="F27" t="s">
        <v>65</v>
      </c>
      <c r="G27" t="s">
        <v>66</v>
      </c>
      <c r="H27">
        <v>20550731399</v>
      </c>
      <c r="I27" t="s">
        <v>67</v>
      </c>
      <c r="J27" t="s">
        <v>68</v>
      </c>
      <c r="K27" t="s">
        <v>69</v>
      </c>
      <c r="L27" t="s">
        <v>69</v>
      </c>
      <c r="M27" t="s">
        <v>70</v>
      </c>
      <c r="N27" t="s">
        <v>71</v>
      </c>
      <c r="O27" t="s">
        <v>71</v>
      </c>
      <c r="P27" t="s">
        <v>72</v>
      </c>
      <c r="Q27" t="s">
        <v>73</v>
      </c>
      <c r="R27" t="s">
        <v>217</v>
      </c>
      <c r="S27" t="s">
        <v>217</v>
      </c>
      <c r="T27" t="s">
        <v>218</v>
      </c>
      <c r="U27">
        <v>8412290000</v>
      </c>
      <c r="V27" t="s">
        <v>164</v>
      </c>
      <c r="W27" t="s">
        <v>219</v>
      </c>
      <c r="X27" t="s">
        <v>220</v>
      </c>
      <c r="Z27" t="s">
        <v>221</v>
      </c>
      <c r="AB27" t="s">
        <v>221</v>
      </c>
      <c r="AC27" t="s">
        <v>222</v>
      </c>
      <c r="AD27" t="s">
        <v>1398</v>
      </c>
      <c r="AE27" t="s">
        <v>221</v>
      </c>
      <c r="AG27">
        <v>8307.77</v>
      </c>
      <c r="AH27">
        <v>858.69</v>
      </c>
      <c r="AI27">
        <v>83.08</v>
      </c>
      <c r="AJ27">
        <v>9249.5300000000007</v>
      </c>
      <c r="AK27">
        <v>0</v>
      </c>
      <c r="AL27">
        <v>1479.92</v>
      </c>
      <c r="AM27">
        <v>184.99</v>
      </c>
      <c r="AN27">
        <v>296.39999999999998</v>
      </c>
      <c r="AO27">
        <v>313</v>
      </c>
      <c r="AP27">
        <v>2</v>
      </c>
      <c r="AQ27" t="s">
        <v>82</v>
      </c>
      <c r="AR27">
        <v>4624.7700000000004</v>
      </c>
      <c r="AS27">
        <v>2</v>
      </c>
      <c r="AT27" t="s">
        <v>107</v>
      </c>
      <c r="AU27" t="s">
        <v>84</v>
      </c>
      <c r="AV27">
        <v>1</v>
      </c>
      <c r="AW27" t="s">
        <v>85</v>
      </c>
      <c r="AY27" t="s">
        <v>108</v>
      </c>
      <c r="AZ27" t="s">
        <v>223</v>
      </c>
      <c r="BA27" t="s">
        <v>224</v>
      </c>
      <c r="BC27">
        <v>12205</v>
      </c>
      <c r="BD27">
        <v>20240508</v>
      </c>
      <c r="BE27">
        <v>4153.8850000000002</v>
      </c>
      <c r="BG27" t="s">
        <v>225</v>
      </c>
      <c r="BH27">
        <v>20240503</v>
      </c>
      <c r="BJ27" t="s">
        <v>226</v>
      </c>
    </row>
    <row r="28" spans="1:63" ht="12.75" x14ac:dyDescent="0.2">
      <c r="A28">
        <v>14</v>
      </c>
      <c r="B28">
        <v>5</v>
      </c>
      <c r="C28">
        <v>2024</v>
      </c>
      <c r="D28" t="s">
        <v>227</v>
      </c>
      <c r="E28">
        <v>1</v>
      </c>
      <c r="F28" t="s">
        <v>65</v>
      </c>
      <c r="G28" t="s">
        <v>66</v>
      </c>
      <c r="H28">
        <v>20550731399</v>
      </c>
      <c r="I28" t="s">
        <v>67</v>
      </c>
      <c r="J28" t="s">
        <v>68</v>
      </c>
      <c r="K28" t="s">
        <v>69</v>
      </c>
      <c r="L28" t="s">
        <v>69</v>
      </c>
      <c r="M28" t="s">
        <v>70</v>
      </c>
      <c r="N28" t="s">
        <v>71</v>
      </c>
      <c r="O28" t="s">
        <v>71</v>
      </c>
      <c r="P28" t="s">
        <v>72</v>
      </c>
      <c r="Q28" t="s">
        <v>162</v>
      </c>
      <c r="R28" t="s">
        <v>228</v>
      </c>
      <c r="S28" t="s">
        <v>74</v>
      </c>
      <c r="T28" t="s">
        <v>75</v>
      </c>
      <c r="U28">
        <v>8413919000</v>
      </c>
      <c r="V28" t="s">
        <v>229</v>
      </c>
      <c r="W28" t="s">
        <v>230</v>
      </c>
      <c r="X28" t="s">
        <v>231</v>
      </c>
      <c r="Y28" t="s">
        <v>232</v>
      </c>
      <c r="Z28" t="s">
        <v>107</v>
      </c>
      <c r="AA28" t="s">
        <v>233</v>
      </c>
      <c r="AB28" t="s">
        <v>231</v>
      </c>
      <c r="AC28" t="s">
        <v>81</v>
      </c>
      <c r="AD28" t="s">
        <v>234</v>
      </c>
      <c r="AE28" t="s">
        <v>233</v>
      </c>
      <c r="AG28">
        <v>3804</v>
      </c>
      <c r="AH28">
        <v>147.54</v>
      </c>
      <c r="AI28">
        <v>38.04</v>
      </c>
      <c r="AJ28">
        <v>3989.58</v>
      </c>
      <c r="AK28">
        <v>0</v>
      </c>
      <c r="AL28">
        <v>638.33000000000004</v>
      </c>
      <c r="AM28">
        <v>79.790000000000006</v>
      </c>
      <c r="AN28">
        <v>50.02</v>
      </c>
      <c r="AO28">
        <v>52.52</v>
      </c>
      <c r="AP28">
        <v>6</v>
      </c>
      <c r="AQ28" t="s">
        <v>82</v>
      </c>
      <c r="AR28">
        <v>664.93</v>
      </c>
      <c r="AS28">
        <v>6</v>
      </c>
      <c r="AT28" t="s">
        <v>107</v>
      </c>
      <c r="AU28" t="s">
        <v>84</v>
      </c>
      <c r="AV28">
        <v>1</v>
      </c>
      <c r="AW28" t="s">
        <v>85</v>
      </c>
      <c r="AX28" t="s">
        <v>235</v>
      </c>
      <c r="AY28" t="s">
        <v>87</v>
      </c>
      <c r="AZ28" t="s">
        <v>88</v>
      </c>
      <c r="BA28" t="s">
        <v>89</v>
      </c>
      <c r="BB28" t="s">
        <v>236</v>
      </c>
      <c r="BC28">
        <v>11532</v>
      </c>
      <c r="BD28">
        <v>20240517</v>
      </c>
      <c r="BE28">
        <v>634</v>
      </c>
      <c r="BG28">
        <v>5439358396</v>
      </c>
      <c r="BH28">
        <v>20240510</v>
      </c>
      <c r="BJ28" t="s">
        <v>89</v>
      </c>
      <c r="BK28" t="s">
        <v>171</v>
      </c>
    </row>
    <row r="29" spans="1:63" ht="12.75" x14ac:dyDescent="0.2">
      <c r="A29">
        <v>14</v>
      </c>
      <c r="B29">
        <v>5</v>
      </c>
      <c r="C29">
        <v>2024</v>
      </c>
      <c r="D29" t="s">
        <v>227</v>
      </c>
      <c r="E29">
        <v>3</v>
      </c>
      <c r="F29" t="s">
        <v>65</v>
      </c>
      <c r="G29" t="s">
        <v>66</v>
      </c>
      <c r="H29">
        <v>20550731399</v>
      </c>
      <c r="I29" t="s">
        <v>67</v>
      </c>
      <c r="J29" t="s">
        <v>68</v>
      </c>
      <c r="K29" t="s">
        <v>69</v>
      </c>
      <c r="L29" t="s">
        <v>69</v>
      </c>
      <c r="M29" t="s">
        <v>70</v>
      </c>
      <c r="N29" t="s">
        <v>71</v>
      </c>
      <c r="O29" t="s">
        <v>71</v>
      </c>
      <c r="P29" t="s">
        <v>72</v>
      </c>
      <c r="Q29" t="s">
        <v>162</v>
      </c>
      <c r="R29" t="s">
        <v>228</v>
      </c>
      <c r="S29" t="s">
        <v>74</v>
      </c>
      <c r="T29" t="s">
        <v>75</v>
      </c>
      <c r="U29">
        <v>8413919000</v>
      </c>
      <c r="V29" t="s">
        <v>229</v>
      </c>
      <c r="W29" t="s">
        <v>237</v>
      </c>
      <c r="X29" t="s">
        <v>238</v>
      </c>
      <c r="Y29" t="s">
        <v>239</v>
      </c>
      <c r="Z29" t="s">
        <v>107</v>
      </c>
      <c r="AA29" t="s">
        <v>240</v>
      </c>
      <c r="AB29" t="s">
        <v>238</v>
      </c>
      <c r="AC29" t="s">
        <v>81</v>
      </c>
      <c r="AD29">
        <v>923954</v>
      </c>
      <c r="AE29" t="s">
        <v>240</v>
      </c>
      <c r="AG29">
        <v>414</v>
      </c>
      <c r="AH29">
        <v>16.059999999999999</v>
      </c>
      <c r="AI29">
        <v>4.1399999999999997</v>
      </c>
      <c r="AJ29">
        <v>434.2</v>
      </c>
      <c r="AK29">
        <v>0</v>
      </c>
      <c r="AL29">
        <v>69.47</v>
      </c>
      <c r="AM29">
        <v>8.68</v>
      </c>
      <c r="AN29">
        <v>5.44</v>
      </c>
      <c r="AO29">
        <v>5.72</v>
      </c>
      <c r="AP29">
        <v>6</v>
      </c>
      <c r="AQ29" t="s">
        <v>82</v>
      </c>
      <c r="AR29">
        <v>72.37</v>
      </c>
      <c r="AS29">
        <v>6</v>
      </c>
      <c r="AT29" t="s">
        <v>107</v>
      </c>
      <c r="AU29" t="s">
        <v>84</v>
      </c>
      <c r="AV29">
        <v>0</v>
      </c>
      <c r="AW29" t="s">
        <v>85</v>
      </c>
      <c r="AX29" t="s">
        <v>235</v>
      </c>
      <c r="AY29" t="s">
        <v>87</v>
      </c>
      <c r="AZ29" t="s">
        <v>88</v>
      </c>
      <c r="BA29" t="s">
        <v>89</v>
      </c>
      <c r="BB29" t="s">
        <v>236</v>
      </c>
      <c r="BC29">
        <v>11532</v>
      </c>
      <c r="BD29">
        <v>20240517</v>
      </c>
      <c r="BE29">
        <v>69</v>
      </c>
      <c r="BG29">
        <v>5439358396</v>
      </c>
      <c r="BH29">
        <v>20240510</v>
      </c>
      <c r="BJ29" t="s">
        <v>89</v>
      </c>
      <c r="BK29" t="s">
        <v>171</v>
      </c>
    </row>
    <row r="30" spans="1:63" ht="12.75" x14ac:dyDescent="0.2">
      <c r="A30">
        <v>14</v>
      </c>
      <c r="B30">
        <v>5</v>
      </c>
      <c r="C30">
        <v>2024</v>
      </c>
      <c r="D30" t="s">
        <v>227</v>
      </c>
      <c r="E30">
        <v>2</v>
      </c>
      <c r="F30" t="s">
        <v>65</v>
      </c>
      <c r="G30" t="s">
        <v>66</v>
      </c>
      <c r="H30">
        <v>20550731399</v>
      </c>
      <c r="I30" t="s">
        <v>67</v>
      </c>
      <c r="J30" t="s">
        <v>68</v>
      </c>
      <c r="K30" t="s">
        <v>69</v>
      </c>
      <c r="L30" t="s">
        <v>69</v>
      </c>
      <c r="M30" t="s">
        <v>70</v>
      </c>
      <c r="N30" t="s">
        <v>71</v>
      </c>
      <c r="O30" t="s">
        <v>71</v>
      </c>
      <c r="P30" t="s">
        <v>72</v>
      </c>
      <c r="Q30" t="s">
        <v>162</v>
      </c>
      <c r="R30" t="s">
        <v>74</v>
      </c>
      <c r="S30" t="s">
        <v>74</v>
      </c>
      <c r="T30" t="s">
        <v>75</v>
      </c>
      <c r="U30">
        <v>8413919000</v>
      </c>
      <c r="V30" t="s">
        <v>229</v>
      </c>
      <c r="W30" t="s">
        <v>241</v>
      </c>
      <c r="X30" t="s">
        <v>242</v>
      </c>
      <c r="Y30" t="s">
        <v>232</v>
      </c>
      <c r="Z30" t="s">
        <v>107</v>
      </c>
      <c r="AA30" t="s">
        <v>243</v>
      </c>
      <c r="AB30" t="s">
        <v>242</v>
      </c>
      <c r="AC30" t="s">
        <v>81</v>
      </c>
      <c r="AD30" t="s">
        <v>244</v>
      </c>
      <c r="AE30" t="s">
        <v>243</v>
      </c>
      <c r="AG30">
        <v>644</v>
      </c>
      <c r="AH30">
        <v>24.98</v>
      </c>
      <c r="AI30">
        <v>6.44</v>
      </c>
      <c r="AJ30">
        <v>675.42</v>
      </c>
      <c r="AK30">
        <v>0</v>
      </c>
      <c r="AL30">
        <v>108.07</v>
      </c>
      <c r="AM30">
        <v>13.51</v>
      </c>
      <c r="AN30">
        <v>8.4700000000000006</v>
      </c>
      <c r="AO30">
        <v>8.89</v>
      </c>
      <c r="AP30">
        <v>2</v>
      </c>
      <c r="AQ30" t="s">
        <v>82</v>
      </c>
      <c r="AR30">
        <v>337.71</v>
      </c>
      <c r="AS30">
        <v>2</v>
      </c>
      <c r="AT30" t="s">
        <v>107</v>
      </c>
      <c r="AU30" t="s">
        <v>84</v>
      </c>
      <c r="AV30">
        <v>0</v>
      </c>
      <c r="AW30" t="s">
        <v>85</v>
      </c>
      <c r="AX30" t="s">
        <v>235</v>
      </c>
      <c r="AY30" t="s">
        <v>87</v>
      </c>
      <c r="AZ30" t="s">
        <v>88</v>
      </c>
      <c r="BA30" t="s">
        <v>89</v>
      </c>
      <c r="BB30" t="s">
        <v>236</v>
      </c>
      <c r="BC30">
        <v>11532</v>
      </c>
      <c r="BD30">
        <v>20240517</v>
      </c>
      <c r="BE30">
        <v>322</v>
      </c>
      <c r="BG30">
        <v>5439358396</v>
      </c>
      <c r="BH30">
        <v>20240510</v>
      </c>
      <c r="BJ30" t="s">
        <v>89</v>
      </c>
      <c r="BK30" t="s">
        <v>171</v>
      </c>
    </row>
    <row r="31" spans="1:63" ht="12.75" x14ac:dyDescent="0.2">
      <c r="A31">
        <v>23</v>
      </c>
      <c r="B31">
        <v>5</v>
      </c>
      <c r="C31">
        <v>2024</v>
      </c>
      <c r="D31" t="s">
        <v>245</v>
      </c>
      <c r="E31">
        <v>3</v>
      </c>
      <c r="F31" t="s">
        <v>65</v>
      </c>
      <c r="G31" t="s">
        <v>66</v>
      </c>
      <c r="H31">
        <v>20550731399</v>
      </c>
      <c r="I31" t="s">
        <v>67</v>
      </c>
      <c r="J31" t="s">
        <v>68</v>
      </c>
      <c r="K31" t="s">
        <v>69</v>
      </c>
      <c r="L31" t="s">
        <v>69</v>
      </c>
      <c r="M31" t="s">
        <v>70</v>
      </c>
      <c r="N31" t="s">
        <v>71</v>
      </c>
      <c r="O31" t="s">
        <v>71</v>
      </c>
      <c r="P31" t="s">
        <v>72</v>
      </c>
      <c r="Q31" t="s">
        <v>162</v>
      </c>
      <c r="R31" t="s">
        <v>74</v>
      </c>
      <c r="S31" t="s">
        <v>74</v>
      </c>
      <c r="T31" t="s">
        <v>246</v>
      </c>
      <c r="U31">
        <v>7318220000</v>
      </c>
      <c r="V31" t="s">
        <v>247</v>
      </c>
      <c r="W31" t="s">
        <v>248</v>
      </c>
      <c r="X31" t="s">
        <v>249</v>
      </c>
      <c r="Y31" t="s">
        <v>147</v>
      </c>
      <c r="Z31" t="s">
        <v>250</v>
      </c>
      <c r="AA31">
        <v>7033614000</v>
      </c>
      <c r="AB31" t="s">
        <v>249</v>
      </c>
      <c r="AC31" t="s">
        <v>214</v>
      </c>
      <c r="AD31">
        <f>+Tabla1[[#This Row],[DESCRIPCIÓN DE MERCANCÍA 4]]</f>
        <v>7033614000</v>
      </c>
      <c r="AE31">
        <v>7033614000</v>
      </c>
      <c r="AG31">
        <v>392.13</v>
      </c>
      <c r="AH31">
        <v>1.25</v>
      </c>
      <c r="AI31">
        <v>10.78</v>
      </c>
      <c r="AJ31">
        <v>404.16</v>
      </c>
      <c r="AK31">
        <v>24.25</v>
      </c>
      <c r="AL31">
        <v>68.55</v>
      </c>
      <c r="AM31">
        <v>8.57</v>
      </c>
      <c r="AN31">
        <v>1.52</v>
      </c>
      <c r="AO31">
        <v>1.61</v>
      </c>
      <c r="AP31">
        <v>1.52</v>
      </c>
      <c r="AQ31" t="s">
        <v>251</v>
      </c>
      <c r="AR31">
        <v>265.89999999999998</v>
      </c>
      <c r="AS31">
        <v>32</v>
      </c>
      <c r="AT31" t="s">
        <v>107</v>
      </c>
      <c r="AU31" t="s">
        <v>84</v>
      </c>
      <c r="AV31">
        <v>0</v>
      </c>
      <c r="AW31" t="s">
        <v>85</v>
      </c>
      <c r="AY31" t="s">
        <v>87</v>
      </c>
      <c r="AZ31" t="s">
        <v>88</v>
      </c>
      <c r="BA31" t="s">
        <v>89</v>
      </c>
      <c r="BB31" t="s">
        <v>90</v>
      </c>
      <c r="BC31">
        <v>11537</v>
      </c>
      <c r="BD31">
        <v>20240524</v>
      </c>
      <c r="BE31">
        <v>257.98</v>
      </c>
      <c r="BG31">
        <v>6868655021</v>
      </c>
      <c r="BH31">
        <v>20240522</v>
      </c>
      <c r="BJ31" t="s">
        <v>89</v>
      </c>
      <c r="BK31" t="s">
        <v>171</v>
      </c>
    </row>
    <row r="32" spans="1:63" ht="12.75" x14ac:dyDescent="0.2">
      <c r="A32">
        <v>23</v>
      </c>
      <c r="B32">
        <v>5</v>
      </c>
      <c r="C32">
        <v>2024</v>
      </c>
      <c r="D32" t="s">
        <v>245</v>
      </c>
      <c r="E32">
        <v>7</v>
      </c>
      <c r="F32" t="s">
        <v>65</v>
      </c>
      <c r="G32" t="s">
        <v>66</v>
      </c>
      <c r="H32">
        <v>20550731399</v>
      </c>
      <c r="I32" t="s">
        <v>67</v>
      </c>
      <c r="J32" t="s">
        <v>68</v>
      </c>
      <c r="K32" t="s">
        <v>69</v>
      </c>
      <c r="L32" t="s">
        <v>69</v>
      </c>
      <c r="M32" t="s">
        <v>70</v>
      </c>
      <c r="N32" t="s">
        <v>71</v>
      </c>
      <c r="O32" t="s">
        <v>71</v>
      </c>
      <c r="P32" t="s">
        <v>72</v>
      </c>
      <c r="Q32" t="s">
        <v>162</v>
      </c>
      <c r="R32" t="s">
        <v>74</v>
      </c>
      <c r="S32" t="s">
        <v>74</v>
      </c>
      <c r="T32" t="s">
        <v>246</v>
      </c>
      <c r="U32">
        <v>7318159000</v>
      </c>
      <c r="V32" t="s">
        <v>252</v>
      </c>
      <c r="W32" t="s">
        <v>253</v>
      </c>
      <c r="X32" t="s">
        <v>254</v>
      </c>
      <c r="Y32" t="s">
        <v>147</v>
      </c>
      <c r="Z32" t="s">
        <v>250</v>
      </c>
      <c r="AA32">
        <v>7001110030</v>
      </c>
      <c r="AB32" t="s">
        <v>255</v>
      </c>
      <c r="AC32" t="s">
        <v>81</v>
      </c>
      <c r="AD32">
        <f>+Tabla1[[#This Row],[DESCRIPCIÓN DE MERCANCÍA 4]]</f>
        <v>7001110030</v>
      </c>
      <c r="AE32">
        <v>7001110030</v>
      </c>
      <c r="AG32">
        <v>288.10000000000002</v>
      </c>
      <c r="AH32">
        <v>0.92</v>
      </c>
      <c r="AI32">
        <v>7.92</v>
      </c>
      <c r="AJ32">
        <v>296.94</v>
      </c>
      <c r="AK32">
        <v>17.82</v>
      </c>
      <c r="AL32">
        <v>50.36</v>
      </c>
      <c r="AM32">
        <v>6.3</v>
      </c>
      <c r="AN32">
        <v>1.1200000000000001</v>
      </c>
      <c r="AO32">
        <v>1.18</v>
      </c>
      <c r="AP32">
        <v>1.1200000000000001</v>
      </c>
      <c r="AQ32" t="s">
        <v>251</v>
      </c>
      <c r="AR32">
        <v>265.12</v>
      </c>
      <c r="AS32">
        <v>48</v>
      </c>
      <c r="AT32" t="s">
        <v>107</v>
      </c>
      <c r="AU32" t="s">
        <v>84</v>
      </c>
      <c r="AV32">
        <v>0</v>
      </c>
      <c r="AW32" t="s">
        <v>85</v>
      </c>
      <c r="AY32" t="s">
        <v>87</v>
      </c>
      <c r="AZ32" t="s">
        <v>88</v>
      </c>
      <c r="BA32" t="s">
        <v>89</v>
      </c>
      <c r="BB32" t="s">
        <v>90</v>
      </c>
      <c r="BC32">
        <v>11537</v>
      </c>
      <c r="BD32">
        <v>20240524</v>
      </c>
      <c r="BE32">
        <v>257.23200000000003</v>
      </c>
      <c r="BG32">
        <v>6868655021</v>
      </c>
      <c r="BH32">
        <v>20240522</v>
      </c>
      <c r="BJ32" t="s">
        <v>89</v>
      </c>
      <c r="BK32" t="s">
        <v>171</v>
      </c>
    </row>
    <row r="33" spans="1:63" ht="12.75" x14ac:dyDescent="0.2">
      <c r="A33">
        <v>23</v>
      </c>
      <c r="B33">
        <v>5</v>
      </c>
      <c r="C33">
        <v>2024</v>
      </c>
      <c r="D33" t="s">
        <v>245</v>
      </c>
      <c r="E33">
        <v>4</v>
      </c>
      <c r="F33" t="s">
        <v>65</v>
      </c>
      <c r="G33" t="s">
        <v>66</v>
      </c>
      <c r="H33">
        <v>20550731399</v>
      </c>
      <c r="I33" t="s">
        <v>67</v>
      </c>
      <c r="J33" t="s">
        <v>68</v>
      </c>
      <c r="K33" t="s">
        <v>69</v>
      </c>
      <c r="L33" t="s">
        <v>69</v>
      </c>
      <c r="M33" t="s">
        <v>70</v>
      </c>
      <c r="N33" t="s">
        <v>71</v>
      </c>
      <c r="O33" t="s">
        <v>71</v>
      </c>
      <c r="P33" t="s">
        <v>72</v>
      </c>
      <c r="Q33" t="s">
        <v>162</v>
      </c>
      <c r="R33" t="s">
        <v>74</v>
      </c>
      <c r="S33" t="s">
        <v>74</v>
      </c>
      <c r="T33" t="s">
        <v>246</v>
      </c>
      <c r="U33">
        <v>7318159000</v>
      </c>
      <c r="V33" t="s">
        <v>252</v>
      </c>
      <c r="W33" t="s">
        <v>256</v>
      </c>
      <c r="X33" t="s">
        <v>257</v>
      </c>
      <c r="Y33" t="s">
        <v>147</v>
      </c>
      <c r="Z33" t="s">
        <v>250</v>
      </c>
      <c r="AA33">
        <v>7000114075</v>
      </c>
      <c r="AB33" t="s">
        <v>258</v>
      </c>
      <c r="AC33" t="s">
        <v>81</v>
      </c>
      <c r="AD33">
        <f>+Tabla1[[#This Row],[DESCRIPCIÓN DE MERCANCÍA 4]]</f>
        <v>7000114075</v>
      </c>
      <c r="AE33">
        <v>7000114075</v>
      </c>
      <c r="AG33">
        <v>424.14</v>
      </c>
      <c r="AH33">
        <v>1.35</v>
      </c>
      <c r="AI33">
        <v>11.66</v>
      </c>
      <c r="AJ33">
        <v>437.15</v>
      </c>
      <c r="AK33">
        <v>26.23</v>
      </c>
      <c r="AL33">
        <v>74.14</v>
      </c>
      <c r="AM33">
        <v>9.27</v>
      </c>
      <c r="AN33">
        <v>1.65</v>
      </c>
      <c r="AO33">
        <v>1.74</v>
      </c>
      <c r="AP33">
        <v>1.65</v>
      </c>
      <c r="AQ33" t="s">
        <v>251</v>
      </c>
      <c r="AR33">
        <v>264.94</v>
      </c>
      <c r="AS33">
        <v>32</v>
      </c>
      <c r="AT33" t="s">
        <v>107</v>
      </c>
      <c r="AU33" t="s">
        <v>84</v>
      </c>
      <c r="AV33">
        <v>0</v>
      </c>
      <c r="AW33" t="s">
        <v>85</v>
      </c>
      <c r="AY33" t="s">
        <v>87</v>
      </c>
      <c r="AZ33" t="s">
        <v>88</v>
      </c>
      <c r="BA33" t="s">
        <v>89</v>
      </c>
      <c r="BB33" t="s">
        <v>90</v>
      </c>
      <c r="BC33">
        <v>11537</v>
      </c>
      <c r="BD33">
        <v>20240524</v>
      </c>
      <c r="BE33">
        <v>257.05500000000001</v>
      </c>
      <c r="BG33">
        <v>6868655021</v>
      </c>
      <c r="BH33">
        <v>20240522</v>
      </c>
      <c r="BJ33" t="s">
        <v>89</v>
      </c>
      <c r="BK33" t="s">
        <v>171</v>
      </c>
    </row>
    <row r="34" spans="1:63" ht="12.75" x14ac:dyDescent="0.2">
      <c r="A34">
        <v>23</v>
      </c>
      <c r="B34">
        <v>5</v>
      </c>
      <c r="C34">
        <v>2024</v>
      </c>
      <c r="D34" t="s">
        <v>245</v>
      </c>
      <c r="E34">
        <v>8</v>
      </c>
      <c r="F34" t="s">
        <v>65</v>
      </c>
      <c r="G34" t="s">
        <v>66</v>
      </c>
      <c r="H34">
        <v>20550731399</v>
      </c>
      <c r="I34" t="s">
        <v>67</v>
      </c>
      <c r="J34" t="s">
        <v>68</v>
      </c>
      <c r="K34" t="s">
        <v>69</v>
      </c>
      <c r="L34" t="s">
        <v>69</v>
      </c>
      <c r="M34" t="s">
        <v>70</v>
      </c>
      <c r="N34" t="s">
        <v>71</v>
      </c>
      <c r="O34" t="s">
        <v>71</v>
      </c>
      <c r="P34" t="s">
        <v>72</v>
      </c>
      <c r="Q34" t="s">
        <v>162</v>
      </c>
      <c r="R34" t="s">
        <v>74</v>
      </c>
      <c r="S34" t="s">
        <v>74</v>
      </c>
      <c r="T34" t="s">
        <v>246</v>
      </c>
      <c r="U34">
        <v>7318220000</v>
      </c>
      <c r="V34" t="s">
        <v>247</v>
      </c>
      <c r="W34" t="s">
        <v>259</v>
      </c>
      <c r="X34" t="s">
        <v>260</v>
      </c>
      <c r="Y34" t="s">
        <v>147</v>
      </c>
      <c r="Z34" t="s">
        <v>250</v>
      </c>
      <c r="AA34">
        <v>7033610000</v>
      </c>
      <c r="AB34" t="s">
        <v>249</v>
      </c>
      <c r="AC34" t="s">
        <v>81</v>
      </c>
      <c r="AD34">
        <f>+Tabla1[[#This Row],[DESCRIPCIÓN DE MERCANCÍA 4]]</f>
        <v>7033610000</v>
      </c>
      <c r="AE34">
        <v>7033610000</v>
      </c>
      <c r="AG34">
        <v>348.12</v>
      </c>
      <c r="AH34">
        <v>1.1100000000000001</v>
      </c>
      <c r="AI34">
        <v>9.57</v>
      </c>
      <c r="AJ34">
        <v>358.8</v>
      </c>
      <c r="AK34">
        <v>21.53</v>
      </c>
      <c r="AL34">
        <v>60.85</v>
      </c>
      <c r="AM34">
        <v>7.61</v>
      </c>
      <c r="AN34">
        <v>1.35</v>
      </c>
      <c r="AO34">
        <v>1.43</v>
      </c>
      <c r="AP34">
        <v>1.35</v>
      </c>
      <c r="AQ34" t="s">
        <v>251</v>
      </c>
      <c r="AR34">
        <v>265.77999999999997</v>
      </c>
      <c r="AS34">
        <v>48</v>
      </c>
      <c r="AT34" t="s">
        <v>107</v>
      </c>
      <c r="AU34" t="s">
        <v>84</v>
      </c>
      <c r="AV34">
        <v>0</v>
      </c>
      <c r="AW34" t="s">
        <v>85</v>
      </c>
      <c r="AY34" t="s">
        <v>87</v>
      </c>
      <c r="AZ34" t="s">
        <v>88</v>
      </c>
      <c r="BA34" t="s">
        <v>89</v>
      </c>
      <c r="BB34" t="s">
        <v>90</v>
      </c>
      <c r="BC34">
        <v>11537</v>
      </c>
      <c r="BD34">
        <v>20240524</v>
      </c>
      <c r="BE34">
        <v>257.86700000000002</v>
      </c>
      <c r="BG34">
        <v>6868655021</v>
      </c>
      <c r="BH34">
        <v>20240522</v>
      </c>
      <c r="BJ34" t="s">
        <v>89</v>
      </c>
      <c r="BK34" t="s">
        <v>171</v>
      </c>
    </row>
    <row r="35" spans="1:63" ht="12.75" x14ac:dyDescent="0.2">
      <c r="A35">
        <v>23</v>
      </c>
      <c r="B35">
        <v>5</v>
      </c>
      <c r="C35">
        <v>2024</v>
      </c>
      <c r="D35" t="s">
        <v>245</v>
      </c>
      <c r="E35">
        <v>1</v>
      </c>
      <c r="F35" t="s">
        <v>65</v>
      </c>
      <c r="G35" t="s">
        <v>66</v>
      </c>
      <c r="H35">
        <v>20550731399</v>
      </c>
      <c r="I35" t="s">
        <v>67</v>
      </c>
      <c r="J35" t="s">
        <v>68</v>
      </c>
      <c r="K35" t="s">
        <v>69</v>
      </c>
      <c r="L35" t="s">
        <v>69</v>
      </c>
      <c r="M35" t="s">
        <v>70</v>
      </c>
      <c r="N35" t="s">
        <v>71</v>
      </c>
      <c r="O35" t="s">
        <v>71</v>
      </c>
      <c r="P35" t="s">
        <v>72</v>
      </c>
      <c r="Q35" t="s">
        <v>162</v>
      </c>
      <c r="R35" t="s">
        <v>117</v>
      </c>
      <c r="S35" t="s">
        <v>74</v>
      </c>
      <c r="T35" t="s">
        <v>246</v>
      </c>
      <c r="U35">
        <v>4016930000</v>
      </c>
      <c r="V35" t="s">
        <v>76</v>
      </c>
      <c r="W35" t="s">
        <v>261</v>
      </c>
      <c r="X35" t="s">
        <v>262</v>
      </c>
      <c r="Y35" t="s">
        <v>147</v>
      </c>
      <c r="Z35" t="s">
        <v>250</v>
      </c>
      <c r="AA35" t="s">
        <v>263</v>
      </c>
      <c r="AB35" t="s">
        <v>264</v>
      </c>
      <c r="AC35" t="s">
        <v>214</v>
      </c>
      <c r="AD35" t="s">
        <v>265</v>
      </c>
      <c r="AE35" t="s">
        <v>263</v>
      </c>
      <c r="AG35">
        <v>42891.47</v>
      </c>
      <c r="AH35">
        <v>136.47999999999999</v>
      </c>
      <c r="AI35">
        <v>750.6</v>
      </c>
      <c r="AJ35">
        <v>43778.55</v>
      </c>
      <c r="AK35">
        <v>2626.71</v>
      </c>
      <c r="AL35">
        <v>7424.84</v>
      </c>
      <c r="AM35">
        <v>928.11</v>
      </c>
      <c r="AN35">
        <v>166.45</v>
      </c>
      <c r="AO35">
        <v>175.66</v>
      </c>
      <c r="AP35">
        <v>1</v>
      </c>
      <c r="AQ35" t="s">
        <v>82</v>
      </c>
      <c r="AR35">
        <v>43778.55</v>
      </c>
      <c r="AS35">
        <v>1</v>
      </c>
      <c r="AT35" t="s">
        <v>107</v>
      </c>
      <c r="AU35" t="s">
        <v>84</v>
      </c>
      <c r="AV35">
        <v>1</v>
      </c>
      <c r="AW35" t="s">
        <v>85</v>
      </c>
      <c r="AY35" t="s">
        <v>87</v>
      </c>
      <c r="AZ35" t="s">
        <v>88</v>
      </c>
      <c r="BA35" t="s">
        <v>89</v>
      </c>
      <c r="BB35" t="s">
        <v>90</v>
      </c>
      <c r="BC35">
        <v>11537</v>
      </c>
      <c r="BD35">
        <v>20240524</v>
      </c>
      <c r="BE35">
        <v>42891.47</v>
      </c>
      <c r="BG35">
        <v>6868655021</v>
      </c>
      <c r="BH35">
        <v>20240522</v>
      </c>
      <c r="BJ35" t="s">
        <v>89</v>
      </c>
      <c r="BK35" t="s">
        <v>171</v>
      </c>
    </row>
    <row r="36" spans="1:63" ht="12.75" x14ac:dyDescent="0.2">
      <c r="A36">
        <v>23</v>
      </c>
      <c r="B36">
        <v>5</v>
      </c>
      <c r="C36">
        <v>2024</v>
      </c>
      <c r="D36" t="s">
        <v>245</v>
      </c>
      <c r="E36">
        <v>5</v>
      </c>
      <c r="F36" t="s">
        <v>65</v>
      </c>
      <c r="G36" t="s">
        <v>66</v>
      </c>
      <c r="H36">
        <v>20550731399</v>
      </c>
      <c r="I36" t="s">
        <v>67</v>
      </c>
      <c r="J36" t="s">
        <v>68</v>
      </c>
      <c r="K36" t="s">
        <v>69</v>
      </c>
      <c r="L36" t="s">
        <v>69</v>
      </c>
      <c r="M36" t="s">
        <v>70</v>
      </c>
      <c r="N36" t="s">
        <v>71</v>
      </c>
      <c r="O36" t="s">
        <v>71</v>
      </c>
      <c r="P36" t="s">
        <v>72</v>
      </c>
      <c r="Q36" t="s">
        <v>162</v>
      </c>
      <c r="R36" t="s">
        <v>74</v>
      </c>
      <c r="S36" t="s">
        <v>74</v>
      </c>
      <c r="T36" t="s">
        <v>246</v>
      </c>
      <c r="U36">
        <v>7318159000</v>
      </c>
      <c r="V36" t="s">
        <v>252</v>
      </c>
      <c r="W36" t="s">
        <v>256</v>
      </c>
      <c r="X36" t="s">
        <v>266</v>
      </c>
      <c r="Y36" t="s">
        <v>147</v>
      </c>
      <c r="Z36" t="s">
        <v>250</v>
      </c>
      <c r="AA36">
        <v>7001114040</v>
      </c>
      <c r="AB36" t="s">
        <v>258</v>
      </c>
      <c r="AC36" t="s">
        <v>81</v>
      </c>
      <c r="AD36">
        <f>+Tabla1[[#This Row],[DESCRIPCIÓN DE MERCANCÍA 4]]</f>
        <v>7001114040</v>
      </c>
      <c r="AE36">
        <v>7001114040</v>
      </c>
      <c r="AG36">
        <v>272.08999999999997</v>
      </c>
      <c r="AH36">
        <v>0.87</v>
      </c>
      <c r="AI36">
        <v>7.48</v>
      </c>
      <c r="AJ36">
        <v>280.44</v>
      </c>
      <c r="AK36">
        <v>16.829999999999998</v>
      </c>
      <c r="AL36">
        <v>47.56</v>
      </c>
      <c r="AM36">
        <v>5.95</v>
      </c>
      <c r="AN36">
        <v>1.06</v>
      </c>
      <c r="AO36">
        <v>1.1100000000000001</v>
      </c>
      <c r="AP36">
        <v>1.06</v>
      </c>
      <c r="AQ36" t="s">
        <v>251</v>
      </c>
      <c r="AR36">
        <v>264.57</v>
      </c>
      <c r="AS36">
        <v>32</v>
      </c>
      <c r="AT36" t="s">
        <v>107</v>
      </c>
      <c r="AU36" t="s">
        <v>84</v>
      </c>
      <c r="AV36">
        <v>0</v>
      </c>
      <c r="AW36" t="s">
        <v>85</v>
      </c>
      <c r="AY36" t="s">
        <v>87</v>
      </c>
      <c r="AZ36" t="s">
        <v>88</v>
      </c>
      <c r="BA36" t="s">
        <v>89</v>
      </c>
      <c r="BB36" t="s">
        <v>90</v>
      </c>
      <c r="BC36">
        <v>11537</v>
      </c>
      <c r="BD36">
        <v>20240524</v>
      </c>
      <c r="BE36">
        <v>256.68900000000002</v>
      </c>
      <c r="BG36">
        <v>6868655021</v>
      </c>
      <c r="BH36">
        <v>20240522</v>
      </c>
      <c r="BJ36" t="s">
        <v>89</v>
      </c>
      <c r="BK36" t="s">
        <v>171</v>
      </c>
    </row>
    <row r="37" spans="1:63" ht="12.75" x14ac:dyDescent="0.2">
      <c r="A37">
        <v>23</v>
      </c>
      <c r="B37">
        <v>5</v>
      </c>
      <c r="C37">
        <v>2024</v>
      </c>
      <c r="D37" t="s">
        <v>245</v>
      </c>
      <c r="E37">
        <v>9</v>
      </c>
      <c r="F37" t="s">
        <v>65</v>
      </c>
      <c r="G37" t="s">
        <v>66</v>
      </c>
      <c r="H37">
        <v>20550731399</v>
      </c>
      <c r="I37" t="s">
        <v>67</v>
      </c>
      <c r="J37" t="s">
        <v>68</v>
      </c>
      <c r="K37" t="s">
        <v>69</v>
      </c>
      <c r="L37" t="s">
        <v>69</v>
      </c>
      <c r="M37" t="s">
        <v>70</v>
      </c>
      <c r="N37" t="s">
        <v>71</v>
      </c>
      <c r="O37" t="s">
        <v>71</v>
      </c>
      <c r="P37" t="s">
        <v>72</v>
      </c>
      <c r="Q37" t="s">
        <v>162</v>
      </c>
      <c r="R37" t="s">
        <v>117</v>
      </c>
      <c r="S37" t="s">
        <v>74</v>
      </c>
      <c r="T37" t="s">
        <v>246</v>
      </c>
      <c r="U37">
        <v>4016930000</v>
      </c>
      <c r="V37" t="s">
        <v>76</v>
      </c>
      <c r="W37" t="s">
        <v>267</v>
      </c>
      <c r="X37" t="s">
        <v>268</v>
      </c>
      <c r="Y37" t="s">
        <v>147</v>
      </c>
      <c r="Z37" t="s">
        <v>250</v>
      </c>
      <c r="AA37" t="s">
        <v>269</v>
      </c>
      <c r="AB37" t="s">
        <v>268</v>
      </c>
      <c r="AC37" t="s">
        <v>214</v>
      </c>
      <c r="AD37" t="s">
        <v>270</v>
      </c>
      <c r="AE37" t="s">
        <v>269</v>
      </c>
      <c r="AG37">
        <v>7298.46</v>
      </c>
      <c r="AH37">
        <v>23.22</v>
      </c>
      <c r="AI37">
        <v>127.72</v>
      </c>
      <c r="AJ37">
        <v>7449.4</v>
      </c>
      <c r="AK37">
        <v>446.96</v>
      </c>
      <c r="AL37">
        <v>1263.42</v>
      </c>
      <c r="AM37">
        <v>157.93</v>
      </c>
      <c r="AN37">
        <v>28.32</v>
      </c>
      <c r="AO37">
        <v>29.89</v>
      </c>
      <c r="AP37">
        <v>1</v>
      </c>
      <c r="AQ37" t="s">
        <v>82</v>
      </c>
      <c r="AR37">
        <v>7449.4</v>
      </c>
      <c r="AS37">
        <v>1</v>
      </c>
      <c r="AT37" t="s">
        <v>107</v>
      </c>
      <c r="AU37" t="s">
        <v>84</v>
      </c>
      <c r="AV37">
        <v>0</v>
      </c>
      <c r="AW37" t="s">
        <v>85</v>
      </c>
      <c r="AY37" t="s">
        <v>87</v>
      </c>
      <c r="AZ37" t="s">
        <v>88</v>
      </c>
      <c r="BA37" t="s">
        <v>89</v>
      </c>
      <c r="BB37" t="s">
        <v>90</v>
      </c>
      <c r="BC37">
        <v>11537</v>
      </c>
      <c r="BD37">
        <v>20240524</v>
      </c>
      <c r="BE37">
        <v>7298.46</v>
      </c>
      <c r="BG37">
        <v>6868655021</v>
      </c>
      <c r="BH37">
        <v>20240522</v>
      </c>
      <c r="BJ37" t="s">
        <v>89</v>
      </c>
      <c r="BK37" t="s">
        <v>171</v>
      </c>
    </row>
    <row r="38" spans="1:63" ht="12.75" x14ac:dyDescent="0.2">
      <c r="A38">
        <v>23</v>
      </c>
      <c r="B38">
        <v>5</v>
      </c>
      <c r="C38">
        <v>2024</v>
      </c>
      <c r="D38" t="s">
        <v>245</v>
      </c>
      <c r="E38">
        <v>2</v>
      </c>
      <c r="F38" t="s">
        <v>65</v>
      </c>
      <c r="G38" t="s">
        <v>66</v>
      </c>
      <c r="H38">
        <v>20550731399</v>
      </c>
      <c r="I38" t="s">
        <v>67</v>
      </c>
      <c r="J38" t="s">
        <v>68</v>
      </c>
      <c r="K38" t="s">
        <v>69</v>
      </c>
      <c r="L38" t="s">
        <v>69</v>
      </c>
      <c r="M38" t="s">
        <v>70</v>
      </c>
      <c r="N38" t="s">
        <v>71</v>
      </c>
      <c r="O38" t="s">
        <v>71</v>
      </c>
      <c r="P38" t="s">
        <v>72</v>
      </c>
      <c r="Q38" t="s">
        <v>162</v>
      </c>
      <c r="R38" t="s">
        <v>117</v>
      </c>
      <c r="S38" t="s">
        <v>74</v>
      </c>
      <c r="T38" t="s">
        <v>246</v>
      </c>
      <c r="U38">
        <v>4016930000</v>
      </c>
      <c r="V38" t="s">
        <v>76</v>
      </c>
      <c r="W38" t="s">
        <v>271</v>
      </c>
      <c r="X38" t="s">
        <v>272</v>
      </c>
      <c r="Y38" t="s">
        <v>147</v>
      </c>
      <c r="Z38" t="s">
        <v>250</v>
      </c>
      <c r="AA38" t="s">
        <v>273</v>
      </c>
      <c r="AB38" t="s">
        <v>272</v>
      </c>
      <c r="AC38" t="s">
        <v>214</v>
      </c>
      <c r="AD38" t="s">
        <v>274</v>
      </c>
      <c r="AE38" t="s">
        <v>273</v>
      </c>
      <c r="AG38">
        <v>7143.41</v>
      </c>
      <c r="AH38">
        <v>22.73</v>
      </c>
      <c r="AI38">
        <v>125.01</v>
      </c>
      <c r="AJ38">
        <v>7291.15</v>
      </c>
      <c r="AK38">
        <v>437.47</v>
      </c>
      <c r="AL38">
        <v>1236.58</v>
      </c>
      <c r="AM38">
        <v>154.57</v>
      </c>
      <c r="AN38">
        <v>27.72</v>
      </c>
      <c r="AO38">
        <v>29.25</v>
      </c>
      <c r="AP38">
        <v>1</v>
      </c>
      <c r="AQ38" t="s">
        <v>82</v>
      </c>
      <c r="AR38">
        <v>7291.15</v>
      </c>
      <c r="AS38">
        <v>1</v>
      </c>
      <c r="AT38" t="s">
        <v>107</v>
      </c>
      <c r="AU38" t="s">
        <v>84</v>
      </c>
      <c r="AV38">
        <v>0</v>
      </c>
      <c r="AW38" t="s">
        <v>85</v>
      </c>
      <c r="AY38" t="s">
        <v>87</v>
      </c>
      <c r="AZ38" t="s">
        <v>88</v>
      </c>
      <c r="BA38" t="s">
        <v>89</v>
      </c>
      <c r="BB38" t="s">
        <v>90</v>
      </c>
      <c r="BC38">
        <v>11537</v>
      </c>
      <c r="BD38">
        <v>20240524</v>
      </c>
      <c r="BE38">
        <v>7143.41</v>
      </c>
      <c r="BG38">
        <v>6868655021</v>
      </c>
      <c r="BH38">
        <v>20240522</v>
      </c>
      <c r="BJ38" t="s">
        <v>89</v>
      </c>
      <c r="BK38" t="s">
        <v>171</v>
      </c>
    </row>
    <row r="39" spans="1:63" ht="12.75" x14ac:dyDescent="0.2">
      <c r="A39">
        <v>23</v>
      </c>
      <c r="B39">
        <v>5</v>
      </c>
      <c r="C39">
        <v>2024</v>
      </c>
      <c r="D39" t="s">
        <v>245</v>
      </c>
      <c r="E39">
        <v>6</v>
      </c>
      <c r="F39" t="s">
        <v>65</v>
      </c>
      <c r="G39" t="s">
        <v>66</v>
      </c>
      <c r="H39">
        <v>20550731399</v>
      </c>
      <c r="I39" t="s">
        <v>67</v>
      </c>
      <c r="J39" t="s">
        <v>68</v>
      </c>
      <c r="K39" t="s">
        <v>69</v>
      </c>
      <c r="L39" t="s">
        <v>69</v>
      </c>
      <c r="M39" t="s">
        <v>70</v>
      </c>
      <c r="N39" t="s">
        <v>71</v>
      </c>
      <c r="O39" t="s">
        <v>71</v>
      </c>
      <c r="P39" t="s">
        <v>72</v>
      </c>
      <c r="Q39" t="s">
        <v>162</v>
      </c>
      <c r="R39" t="s">
        <v>74</v>
      </c>
      <c r="S39" t="s">
        <v>74</v>
      </c>
      <c r="T39" t="s">
        <v>246</v>
      </c>
      <c r="U39">
        <v>7318160000</v>
      </c>
      <c r="V39" t="s">
        <v>275</v>
      </c>
      <c r="W39" t="s">
        <v>276</v>
      </c>
      <c r="X39" t="s">
        <v>277</v>
      </c>
      <c r="Y39" t="s">
        <v>147</v>
      </c>
      <c r="Z39" t="s">
        <v>250</v>
      </c>
      <c r="AA39">
        <v>7020114000</v>
      </c>
      <c r="AB39" t="s">
        <v>278</v>
      </c>
      <c r="AC39" t="s">
        <v>81</v>
      </c>
      <c r="AD39">
        <f>+Tabla1[[#This Row],[DESCRIPCIÓN DE MERCANCÍA 4]]</f>
        <v>7020114000</v>
      </c>
      <c r="AE39">
        <v>7020114000</v>
      </c>
      <c r="AG39">
        <v>208.07</v>
      </c>
      <c r="AH39">
        <v>0.66</v>
      </c>
      <c r="AI39">
        <v>5.72</v>
      </c>
      <c r="AJ39">
        <v>214.45</v>
      </c>
      <c r="AK39">
        <v>12.87</v>
      </c>
      <c r="AL39">
        <v>36.369999999999997</v>
      </c>
      <c r="AM39">
        <v>4.55</v>
      </c>
      <c r="AN39">
        <v>0.81</v>
      </c>
      <c r="AO39">
        <v>0.85</v>
      </c>
      <c r="AP39">
        <v>0.81</v>
      </c>
      <c r="AQ39" t="s">
        <v>251</v>
      </c>
      <c r="AR39">
        <v>264.76</v>
      </c>
      <c r="AS39">
        <v>32</v>
      </c>
      <c r="AT39" t="s">
        <v>107</v>
      </c>
      <c r="AU39" t="s">
        <v>84</v>
      </c>
      <c r="AV39">
        <v>0</v>
      </c>
      <c r="AW39" t="s">
        <v>85</v>
      </c>
      <c r="AY39" t="s">
        <v>87</v>
      </c>
      <c r="AZ39" t="s">
        <v>88</v>
      </c>
      <c r="BA39" t="s">
        <v>89</v>
      </c>
      <c r="BB39" t="s">
        <v>90</v>
      </c>
      <c r="BC39">
        <v>11537</v>
      </c>
      <c r="BD39">
        <v>20240524</v>
      </c>
      <c r="BE39">
        <v>256.87700000000001</v>
      </c>
      <c r="BG39">
        <v>6868655021</v>
      </c>
      <c r="BH39">
        <v>20240522</v>
      </c>
      <c r="BJ39" t="s">
        <v>89</v>
      </c>
      <c r="BK39" t="s">
        <v>171</v>
      </c>
    </row>
    <row r="40" spans="1:63" ht="12.75" x14ac:dyDescent="0.2">
      <c r="A40">
        <v>3</v>
      </c>
      <c r="B40">
        <v>6</v>
      </c>
      <c r="C40">
        <v>2024</v>
      </c>
      <c r="D40">
        <v>203715</v>
      </c>
      <c r="E40">
        <v>4</v>
      </c>
      <c r="F40" t="s">
        <v>279</v>
      </c>
      <c r="G40" t="s">
        <v>66</v>
      </c>
      <c r="H40">
        <v>20550731399</v>
      </c>
      <c r="I40" t="s">
        <v>67</v>
      </c>
      <c r="J40" t="s">
        <v>68</v>
      </c>
      <c r="K40" t="s">
        <v>69</v>
      </c>
      <c r="L40" t="s">
        <v>69</v>
      </c>
      <c r="M40" t="s">
        <v>70</v>
      </c>
      <c r="N40" t="s">
        <v>71</v>
      </c>
      <c r="O40" t="s">
        <v>71</v>
      </c>
      <c r="P40" t="s">
        <v>280</v>
      </c>
      <c r="Q40" t="s">
        <v>73</v>
      </c>
      <c r="R40" t="s">
        <v>281</v>
      </c>
      <c r="S40" t="s">
        <v>281</v>
      </c>
      <c r="T40" t="s">
        <v>282</v>
      </c>
      <c r="U40">
        <v>8412290000</v>
      </c>
      <c r="V40" t="s">
        <v>164</v>
      </c>
      <c r="W40" t="s">
        <v>283</v>
      </c>
      <c r="X40" t="s">
        <v>284</v>
      </c>
      <c r="Y40" t="s">
        <v>285</v>
      </c>
      <c r="Z40" t="s">
        <v>286</v>
      </c>
      <c r="AB40" t="s">
        <v>287</v>
      </c>
      <c r="AC40" t="s">
        <v>288</v>
      </c>
      <c r="AD40" t="s">
        <v>289</v>
      </c>
      <c r="AE40" t="s">
        <v>286</v>
      </c>
      <c r="AG40">
        <v>2466.14</v>
      </c>
      <c r="AH40">
        <v>17.16</v>
      </c>
      <c r="AI40">
        <v>24.66</v>
      </c>
      <c r="AJ40">
        <v>2507.96</v>
      </c>
      <c r="AK40">
        <v>0</v>
      </c>
      <c r="AL40">
        <v>401.27</v>
      </c>
      <c r="AM40">
        <v>50.16</v>
      </c>
      <c r="AN40">
        <v>54.45</v>
      </c>
      <c r="AO40">
        <v>56.92</v>
      </c>
      <c r="AP40">
        <v>3</v>
      </c>
      <c r="AQ40" t="s">
        <v>82</v>
      </c>
      <c r="AR40">
        <v>835.99</v>
      </c>
      <c r="AS40">
        <v>3</v>
      </c>
      <c r="AT40" t="s">
        <v>290</v>
      </c>
      <c r="AU40" t="s">
        <v>84</v>
      </c>
      <c r="AV40">
        <v>0</v>
      </c>
      <c r="AW40" t="s">
        <v>85</v>
      </c>
      <c r="AY40" t="s">
        <v>108</v>
      </c>
      <c r="AZ40" t="s">
        <v>291</v>
      </c>
      <c r="BA40" t="s">
        <v>224</v>
      </c>
      <c r="BB40" t="s">
        <v>90</v>
      </c>
      <c r="BC40">
        <v>1440</v>
      </c>
      <c r="BD40">
        <v>20240607</v>
      </c>
      <c r="BE40">
        <v>822.04700000000003</v>
      </c>
      <c r="BF40" t="s">
        <v>292</v>
      </c>
      <c r="BG40" t="s">
        <v>293</v>
      </c>
      <c r="BH40">
        <v>20240328</v>
      </c>
      <c r="BI40" t="s">
        <v>294</v>
      </c>
      <c r="BJ40" t="s">
        <v>226</v>
      </c>
    </row>
    <row r="41" spans="1:63" ht="12.75" x14ac:dyDescent="0.2">
      <c r="A41">
        <v>3</v>
      </c>
      <c r="B41">
        <v>6</v>
      </c>
      <c r="C41">
        <v>2024</v>
      </c>
      <c r="D41">
        <v>203715</v>
      </c>
      <c r="E41">
        <v>1</v>
      </c>
      <c r="F41" t="s">
        <v>279</v>
      </c>
      <c r="G41" t="s">
        <v>66</v>
      </c>
      <c r="H41">
        <v>20550731399</v>
      </c>
      <c r="I41" t="s">
        <v>67</v>
      </c>
      <c r="J41" t="s">
        <v>68</v>
      </c>
      <c r="K41" t="s">
        <v>69</v>
      </c>
      <c r="L41" t="s">
        <v>69</v>
      </c>
      <c r="M41" t="s">
        <v>70</v>
      </c>
      <c r="N41" t="s">
        <v>71</v>
      </c>
      <c r="O41" t="s">
        <v>71</v>
      </c>
      <c r="P41" t="s">
        <v>280</v>
      </c>
      <c r="Q41" t="s">
        <v>73</v>
      </c>
      <c r="R41" t="s">
        <v>281</v>
      </c>
      <c r="S41" t="s">
        <v>281</v>
      </c>
      <c r="T41" t="s">
        <v>282</v>
      </c>
      <c r="U41">
        <v>8413190000</v>
      </c>
      <c r="V41" t="s">
        <v>100</v>
      </c>
      <c r="W41" t="s">
        <v>295</v>
      </c>
      <c r="X41" t="s">
        <v>296</v>
      </c>
      <c r="Y41" t="s">
        <v>297</v>
      </c>
      <c r="Z41" t="s">
        <v>298</v>
      </c>
      <c r="AA41" t="s">
        <v>299</v>
      </c>
      <c r="AB41" t="s">
        <v>300</v>
      </c>
      <c r="AC41" t="s">
        <v>288</v>
      </c>
      <c r="AD41" t="s">
        <v>301</v>
      </c>
      <c r="AE41" t="s">
        <v>298</v>
      </c>
      <c r="AG41">
        <v>3753.62</v>
      </c>
      <c r="AH41">
        <v>26.11</v>
      </c>
      <c r="AI41">
        <v>37.54</v>
      </c>
      <c r="AJ41">
        <v>3817.27</v>
      </c>
      <c r="AK41">
        <v>0</v>
      </c>
      <c r="AL41">
        <v>610.76</v>
      </c>
      <c r="AM41">
        <v>76.349999999999994</v>
      </c>
      <c r="AN41">
        <v>82.88</v>
      </c>
      <c r="AO41">
        <v>86.63</v>
      </c>
      <c r="AP41">
        <v>2</v>
      </c>
      <c r="AQ41" t="s">
        <v>82</v>
      </c>
      <c r="AR41">
        <v>1908.63</v>
      </c>
      <c r="AS41">
        <v>2</v>
      </c>
      <c r="AT41" t="s">
        <v>107</v>
      </c>
      <c r="AU41" t="s">
        <v>84</v>
      </c>
      <c r="AV41">
        <v>2</v>
      </c>
      <c r="AW41" t="s">
        <v>85</v>
      </c>
      <c r="AY41" t="s">
        <v>108</v>
      </c>
      <c r="AZ41" t="s">
        <v>291</v>
      </c>
      <c r="BA41" t="s">
        <v>224</v>
      </c>
      <c r="BB41" t="s">
        <v>90</v>
      </c>
      <c r="BC41">
        <v>1440</v>
      </c>
      <c r="BD41">
        <v>20240607</v>
      </c>
      <c r="BE41">
        <v>1876.81</v>
      </c>
      <c r="BF41" t="s">
        <v>292</v>
      </c>
      <c r="BG41" t="s">
        <v>293</v>
      </c>
      <c r="BH41">
        <v>20240328</v>
      </c>
      <c r="BI41" t="s">
        <v>294</v>
      </c>
      <c r="BJ41" t="s">
        <v>226</v>
      </c>
    </row>
    <row r="42" spans="1:63" ht="12.75" x14ac:dyDescent="0.2">
      <c r="A42">
        <v>3</v>
      </c>
      <c r="B42">
        <v>6</v>
      </c>
      <c r="C42">
        <v>2024</v>
      </c>
      <c r="D42">
        <v>203715</v>
      </c>
      <c r="E42">
        <v>2</v>
      </c>
      <c r="F42" t="s">
        <v>279</v>
      </c>
      <c r="G42" t="s">
        <v>66</v>
      </c>
      <c r="H42">
        <v>20550731399</v>
      </c>
      <c r="I42" t="s">
        <v>67</v>
      </c>
      <c r="J42" t="s">
        <v>68</v>
      </c>
      <c r="K42" t="s">
        <v>69</v>
      </c>
      <c r="L42" t="s">
        <v>69</v>
      </c>
      <c r="M42" t="s">
        <v>70</v>
      </c>
      <c r="N42" t="s">
        <v>71</v>
      </c>
      <c r="O42" t="s">
        <v>71</v>
      </c>
      <c r="P42" t="s">
        <v>280</v>
      </c>
      <c r="Q42" t="s">
        <v>73</v>
      </c>
      <c r="R42" t="s">
        <v>281</v>
      </c>
      <c r="S42" t="s">
        <v>281</v>
      </c>
      <c r="T42" t="s">
        <v>282</v>
      </c>
      <c r="U42">
        <v>8412900000</v>
      </c>
      <c r="V42" t="s">
        <v>129</v>
      </c>
      <c r="W42" t="s">
        <v>302</v>
      </c>
      <c r="X42" t="s">
        <v>303</v>
      </c>
      <c r="Y42" t="s">
        <v>304</v>
      </c>
      <c r="Z42" t="s">
        <v>305</v>
      </c>
      <c r="AB42" t="s">
        <v>79</v>
      </c>
      <c r="AC42" t="s">
        <v>288</v>
      </c>
      <c r="AD42" t="s">
        <v>304</v>
      </c>
      <c r="AE42" t="s">
        <v>305</v>
      </c>
      <c r="AG42">
        <v>1224.77</v>
      </c>
      <c r="AH42">
        <v>8.52</v>
      </c>
      <c r="AI42">
        <v>12.25</v>
      </c>
      <c r="AJ42">
        <v>1245.54</v>
      </c>
      <c r="AK42">
        <v>0</v>
      </c>
      <c r="AL42">
        <v>199.29</v>
      </c>
      <c r="AM42">
        <v>24.91</v>
      </c>
      <c r="AN42">
        <v>27.04</v>
      </c>
      <c r="AO42">
        <v>28.27</v>
      </c>
      <c r="AP42">
        <v>16</v>
      </c>
      <c r="AQ42" t="s">
        <v>82</v>
      </c>
      <c r="AR42">
        <v>77.849999999999994</v>
      </c>
      <c r="AS42">
        <v>16</v>
      </c>
      <c r="AT42" t="s">
        <v>107</v>
      </c>
      <c r="AU42" t="s">
        <v>84</v>
      </c>
      <c r="AV42">
        <v>0</v>
      </c>
      <c r="AW42" t="s">
        <v>85</v>
      </c>
      <c r="AY42" t="s">
        <v>108</v>
      </c>
      <c r="AZ42" t="s">
        <v>291</v>
      </c>
      <c r="BA42" t="s">
        <v>224</v>
      </c>
      <c r="BB42" t="s">
        <v>90</v>
      </c>
      <c r="BC42">
        <v>1440</v>
      </c>
      <c r="BD42">
        <v>20240607</v>
      </c>
      <c r="BE42">
        <v>76.548000000000002</v>
      </c>
      <c r="BF42" t="s">
        <v>292</v>
      </c>
      <c r="BG42" t="s">
        <v>293</v>
      </c>
      <c r="BH42">
        <v>20240328</v>
      </c>
      <c r="BI42" t="s">
        <v>294</v>
      </c>
      <c r="BJ42" t="s">
        <v>226</v>
      </c>
    </row>
    <row r="43" spans="1:63" ht="12.75" x14ac:dyDescent="0.2">
      <c r="A43">
        <v>3</v>
      </c>
      <c r="B43">
        <v>6</v>
      </c>
      <c r="C43">
        <v>2024</v>
      </c>
      <c r="D43">
        <v>203715</v>
      </c>
      <c r="E43">
        <v>3</v>
      </c>
      <c r="F43" t="s">
        <v>279</v>
      </c>
      <c r="G43" t="s">
        <v>66</v>
      </c>
      <c r="H43">
        <v>20550731399</v>
      </c>
      <c r="I43" t="s">
        <v>67</v>
      </c>
      <c r="J43" t="s">
        <v>68</v>
      </c>
      <c r="K43" t="s">
        <v>69</v>
      </c>
      <c r="L43" t="s">
        <v>69</v>
      </c>
      <c r="M43" t="s">
        <v>70</v>
      </c>
      <c r="N43" t="s">
        <v>71</v>
      </c>
      <c r="O43" t="s">
        <v>71</v>
      </c>
      <c r="P43" t="s">
        <v>280</v>
      </c>
      <c r="Q43" t="s">
        <v>73</v>
      </c>
      <c r="R43" t="s">
        <v>281</v>
      </c>
      <c r="S43" t="s">
        <v>281</v>
      </c>
      <c r="T43" t="s">
        <v>282</v>
      </c>
      <c r="U43">
        <v>8413919000</v>
      </c>
      <c r="V43" t="s">
        <v>229</v>
      </c>
      <c r="W43" t="s">
        <v>306</v>
      </c>
      <c r="X43" t="s">
        <v>307</v>
      </c>
      <c r="Y43" t="s">
        <v>308</v>
      </c>
      <c r="Z43" t="s">
        <v>192</v>
      </c>
      <c r="AB43" t="s">
        <v>309</v>
      </c>
      <c r="AC43" t="s">
        <v>288</v>
      </c>
      <c r="AD43" t="s">
        <v>308</v>
      </c>
      <c r="AE43" t="s">
        <v>192</v>
      </c>
      <c r="AG43">
        <v>4774.47</v>
      </c>
      <c r="AH43">
        <v>33.21</v>
      </c>
      <c r="AI43">
        <v>47.74</v>
      </c>
      <c r="AJ43">
        <v>4855.43</v>
      </c>
      <c r="AK43">
        <v>0</v>
      </c>
      <c r="AL43">
        <v>776.87</v>
      </c>
      <c r="AM43">
        <v>97.11</v>
      </c>
      <c r="AN43">
        <v>105.42</v>
      </c>
      <c r="AO43">
        <v>110.19</v>
      </c>
      <c r="AP43">
        <v>8</v>
      </c>
      <c r="AQ43" t="s">
        <v>82</v>
      </c>
      <c r="AR43">
        <v>606.92999999999995</v>
      </c>
      <c r="AS43">
        <v>8</v>
      </c>
      <c r="AT43" t="s">
        <v>290</v>
      </c>
      <c r="AU43" t="s">
        <v>84</v>
      </c>
      <c r="AV43">
        <v>0</v>
      </c>
      <c r="AW43" t="s">
        <v>85</v>
      </c>
      <c r="AY43" t="s">
        <v>108</v>
      </c>
      <c r="AZ43" t="s">
        <v>291</v>
      </c>
      <c r="BA43" t="s">
        <v>224</v>
      </c>
      <c r="BB43" t="s">
        <v>90</v>
      </c>
      <c r="BC43">
        <v>1440</v>
      </c>
      <c r="BD43">
        <v>20240607</v>
      </c>
      <c r="BE43">
        <v>596.80899999999997</v>
      </c>
      <c r="BF43" t="s">
        <v>292</v>
      </c>
      <c r="BG43" t="s">
        <v>293</v>
      </c>
      <c r="BH43">
        <v>20240328</v>
      </c>
      <c r="BI43" t="s">
        <v>294</v>
      </c>
      <c r="BJ43" t="s">
        <v>226</v>
      </c>
    </row>
    <row r="44" spans="1:63" ht="12.75" x14ac:dyDescent="0.2">
      <c r="A44">
        <v>6</v>
      </c>
      <c r="B44">
        <v>6</v>
      </c>
      <c r="C44">
        <v>2024</v>
      </c>
      <c r="D44" t="s">
        <v>310</v>
      </c>
      <c r="E44">
        <v>1</v>
      </c>
      <c r="F44" t="s">
        <v>65</v>
      </c>
      <c r="G44" t="s">
        <v>66</v>
      </c>
      <c r="H44">
        <v>20550731399</v>
      </c>
      <c r="I44" t="s">
        <v>67</v>
      </c>
      <c r="J44" t="s">
        <v>68</v>
      </c>
      <c r="K44" t="s">
        <v>69</v>
      </c>
      <c r="L44" t="s">
        <v>69</v>
      </c>
      <c r="M44" t="s">
        <v>70</v>
      </c>
      <c r="N44" t="s">
        <v>71</v>
      </c>
      <c r="O44" t="s">
        <v>71</v>
      </c>
      <c r="P44" t="s">
        <v>72</v>
      </c>
      <c r="Q44" t="s">
        <v>73</v>
      </c>
      <c r="R44" t="s">
        <v>228</v>
      </c>
      <c r="S44" t="s">
        <v>74</v>
      </c>
      <c r="T44" t="s">
        <v>75</v>
      </c>
      <c r="U44">
        <v>8413609000</v>
      </c>
      <c r="V44" t="s">
        <v>311</v>
      </c>
      <c r="W44" t="s">
        <v>312</v>
      </c>
      <c r="X44" t="s">
        <v>176</v>
      </c>
      <c r="Y44" t="s">
        <v>232</v>
      </c>
      <c r="Z44" t="s">
        <v>107</v>
      </c>
      <c r="AA44" t="s">
        <v>313</v>
      </c>
      <c r="AB44" t="s">
        <v>176</v>
      </c>
      <c r="AC44" t="s">
        <v>81</v>
      </c>
      <c r="AD44" t="s">
        <v>185</v>
      </c>
      <c r="AE44" t="s">
        <v>313</v>
      </c>
      <c r="AG44">
        <v>4392</v>
      </c>
      <c r="AH44">
        <v>188.58</v>
      </c>
      <c r="AI44">
        <v>43.92</v>
      </c>
      <c r="AJ44">
        <v>4624.5</v>
      </c>
      <c r="AK44">
        <v>0</v>
      </c>
      <c r="AL44">
        <v>739.92</v>
      </c>
      <c r="AM44">
        <v>92.49</v>
      </c>
      <c r="AN44">
        <v>133.91999999999999</v>
      </c>
      <c r="AO44">
        <v>140.62</v>
      </c>
      <c r="AP44">
        <v>2</v>
      </c>
      <c r="AQ44" t="s">
        <v>82</v>
      </c>
      <c r="AR44">
        <v>2312.25</v>
      </c>
      <c r="AS44">
        <v>2</v>
      </c>
      <c r="AT44" t="s">
        <v>107</v>
      </c>
      <c r="AU44" t="s">
        <v>84</v>
      </c>
      <c r="AV44">
        <v>1</v>
      </c>
      <c r="AW44" t="s">
        <v>85</v>
      </c>
      <c r="AX44" t="s">
        <v>235</v>
      </c>
      <c r="AY44" t="s">
        <v>87</v>
      </c>
      <c r="AZ44" t="s">
        <v>88</v>
      </c>
      <c r="BA44" t="s">
        <v>89</v>
      </c>
      <c r="BB44" t="s">
        <v>236</v>
      </c>
      <c r="BC44">
        <v>14573</v>
      </c>
      <c r="BD44">
        <v>20240607</v>
      </c>
      <c r="BE44">
        <v>2196</v>
      </c>
      <c r="BG44">
        <v>1171897801</v>
      </c>
      <c r="BH44">
        <v>20240605</v>
      </c>
      <c r="BJ44" t="s">
        <v>89</v>
      </c>
    </row>
    <row r="45" spans="1:63" ht="12.75" x14ac:dyDescent="0.2">
      <c r="A45">
        <v>14</v>
      </c>
      <c r="B45">
        <v>6</v>
      </c>
      <c r="C45">
        <v>2024</v>
      </c>
      <c r="D45">
        <v>220434</v>
      </c>
      <c r="E45">
        <v>1</v>
      </c>
      <c r="F45" t="s">
        <v>279</v>
      </c>
      <c r="G45" t="s">
        <v>66</v>
      </c>
      <c r="H45">
        <v>20550731399</v>
      </c>
      <c r="I45" t="s">
        <v>67</v>
      </c>
      <c r="J45" t="s">
        <v>68</v>
      </c>
      <c r="K45" t="s">
        <v>69</v>
      </c>
      <c r="L45" t="s">
        <v>69</v>
      </c>
      <c r="M45" t="s">
        <v>70</v>
      </c>
      <c r="N45" t="s">
        <v>71</v>
      </c>
      <c r="O45" t="s">
        <v>71</v>
      </c>
      <c r="P45" t="s">
        <v>280</v>
      </c>
      <c r="Q45" t="s">
        <v>73</v>
      </c>
      <c r="R45" t="s">
        <v>74</v>
      </c>
      <c r="S45" t="s">
        <v>74</v>
      </c>
      <c r="T45" t="s">
        <v>163</v>
      </c>
      <c r="U45">
        <v>8425190000</v>
      </c>
      <c r="V45" t="s">
        <v>314</v>
      </c>
      <c r="W45" t="s">
        <v>315</v>
      </c>
      <c r="X45" t="s">
        <v>316</v>
      </c>
      <c r="Y45" t="s">
        <v>317</v>
      </c>
      <c r="Z45" t="s">
        <v>318</v>
      </c>
      <c r="AB45" t="s">
        <v>319</v>
      </c>
      <c r="AC45" t="s">
        <v>320</v>
      </c>
      <c r="AD45" t="s">
        <v>321</v>
      </c>
      <c r="AE45" t="s">
        <v>318</v>
      </c>
      <c r="AG45">
        <v>20747.900000000001</v>
      </c>
      <c r="AH45">
        <v>65</v>
      </c>
      <c r="AI45">
        <v>207.48</v>
      </c>
      <c r="AJ45">
        <v>21020.38</v>
      </c>
      <c r="AK45">
        <v>0</v>
      </c>
      <c r="AL45">
        <v>3363.26</v>
      </c>
      <c r="AM45">
        <v>420.41</v>
      </c>
      <c r="AN45">
        <v>538.65</v>
      </c>
      <c r="AO45">
        <v>566</v>
      </c>
      <c r="AP45">
        <v>1</v>
      </c>
      <c r="AQ45" t="s">
        <v>82</v>
      </c>
      <c r="AR45">
        <v>21020.38</v>
      </c>
      <c r="AS45">
        <v>1</v>
      </c>
      <c r="AT45" t="s">
        <v>107</v>
      </c>
      <c r="AU45" t="s">
        <v>84</v>
      </c>
      <c r="AV45">
        <v>1</v>
      </c>
      <c r="AW45" t="s">
        <v>85</v>
      </c>
      <c r="AY45" t="s">
        <v>108</v>
      </c>
      <c r="AZ45" t="s">
        <v>322</v>
      </c>
      <c r="BA45" t="s">
        <v>323</v>
      </c>
      <c r="BB45" t="s">
        <v>90</v>
      </c>
      <c r="BC45">
        <v>1513</v>
      </c>
      <c r="BD45">
        <v>20240617</v>
      </c>
      <c r="BE45">
        <v>20747.900000000001</v>
      </c>
      <c r="BF45" t="s">
        <v>324</v>
      </c>
      <c r="BG45">
        <v>424600449</v>
      </c>
      <c r="BH45">
        <v>20240607</v>
      </c>
      <c r="BI45" t="s">
        <v>325</v>
      </c>
      <c r="BJ45" t="s">
        <v>326</v>
      </c>
    </row>
    <row r="46" spans="1:63" ht="12.75" x14ac:dyDescent="0.2">
      <c r="A46">
        <v>21</v>
      </c>
      <c r="B46">
        <v>6</v>
      </c>
      <c r="C46">
        <v>2024</v>
      </c>
      <c r="D46" t="s">
        <v>327</v>
      </c>
      <c r="E46">
        <v>1</v>
      </c>
      <c r="F46" t="s">
        <v>65</v>
      </c>
      <c r="G46" t="s">
        <v>66</v>
      </c>
      <c r="H46">
        <v>20550731399</v>
      </c>
      <c r="I46" t="s">
        <v>67</v>
      </c>
      <c r="J46" t="s">
        <v>68</v>
      </c>
      <c r="K46" t="s">
        <v>69</v>
      </c>
      <c r="L46" t="s">
        <v>69</v>
      </c>
      <c r="M46" t="s">
        <v>70</v>
      </c>
      <c r="N46" t="s">
        <v>71</v>
      </c>
      <c r="O46" t="s">
        <v>71</v>
      </c>
      <c r="P46" t="s">
        <v>72</v>
      </c>
      <c r="Q46" t="s">
        <v>73</v>
      </c>
      <c r="R46" t="s">
        <v>74</v>
      </c>
      <c r="S46" t="s">
        <v>74</v>
      </c>
      <c r="T46" t="s">
        <v>163</v>
      </c>
      <c r="U46">
        <v>8483500000</v>
      </c>
      <c r="V46" t="s">
        <v>328</v>
      </c>
      <c r="W46" t="s">
        <v>329</v>
      </c>
      <c r="X46" t="s">
        <v>330</v>
      </c>
      <c r="Y46" t="s">
        <v>269</v>
      </c>
      <c r="Z46" t="s">
        <v>268</v>
      </c>
      <c r="AA46" t="s">
        <v>331</v>
      </c>
      <c r="AB46" t="s">
        <v>268</v>
      </c>
      <c r="AC46" t="s">
        <v>214</v>
      </c>
      <c r="AD46" t="s">
        <v>332</v>
      </c>
      <c r="AE46" t="s">
        <v>268</v>
      </c>
      <c r="AG46">
        <v>7591.98</v>
      </c>
      <c r="AH46">
        <v>90</v>
      </c>
      <c r="AI46">
        <v>75.92</v>
      </c>
      <c r="AJ46">
        <v>7757.9</v>
      </c>
      <c r="AK46">
        <v>0</v>
      </c>
      <c r="AL46">
        <v>1241.26</v>
      </c>
      <c r="AM46">
        <v>155.16</v>
      </c>
      <c r="AN46">
        <v>32.299999999999997</v>
      </c>
      <c r="AO46">
        <v>34.549999999999997</v>
      </c>
      <c r="AP46">
        <v>1</v>
      </c>
      <c r="AQ46" t="s">
        <v>82</v>
      </c>
      <c r="AR46">
        <v>7757.9</v>
      </c>
      <c r="AS46">
        <v>1</v>
      </c>
      <c r="AT46" t="s">
        <v>107</v>
      </c>
      <c r="AU46" t="s">
        <v>84</v>
      </c>
      <c r="AV46">
        <v>1</v>
      </c>
      <c r="AW46" t="s">
        <v>85</v>
      </c>
      <c r="AX46" t="s">
        <v>215</v>
      </c>
      <c r="AY46" t="s">
        <v>108</v>
      </c>
      <c r="AZ46" t="s">
        <v>169</v>
      </c>
      <c r="BA46" t="s">
        <v>170</v>
      </c>
      <c r="BB46" t="s">
        <v>90</v>
      </c>
      <c r="BC46">
        <v>14597</v>
      </c>
      <c r="BD46">
        <v>20240622</v>
      </c>
      <c r="BE46">
        <v>7591.98</v>
      </c>
      <c r="BG46">
        <v>424200674</v>
      </c>
      <c r="BH46">
        <v>20240619</v>
      </c>
      <c r="BJ46" t="s">
        <v>112</v>
      </c>
      <c r="BK46" t="s">
        <v>171</v>
      </c>
    </row>
    <row r="47" spans="1:63" ht="12.75" x14ac:dyDescent="0.2">
      <c r="A47">
        <v>26</v>
      </c>
      <c r="B47">
        <v>6</v>
      </c>
      <c r="C47">
        <v>2024</v>
      </c>
      <c r="D47" t="s">
        <v>333</v>
      </c>
      <c r="E47">
        <v>2</v>
      </c>
      <c r="F47" t="s">
        <v>65</v>
      </c>
      <c r="G47" t="s">
        <v>66</v>
      </c>
      <c r="H47">
        <v>20550731399</v>
      </c>
      <c r="I47" t="s">
        <v>67</v>
      </c>
      <c r="J47" t="s">
        <v>68</v>
      </c>
      <c r="K47" t="s">
        <v>69</v>
      </c>
      <c r="L47" t="s">
        <v>69</v>
      </c>
      <c r="M47" t="s">
        <v>70</v>
      </c>
      <c r="N47" t="s">
        <v>71</v>
      </c>
      <c r="O47" t="s">
        <v>71</v>
      </c>
      <c r="P47" t="s">
        <v>72</v>
      </c>
      <c r="Q47" t="s">
        <v>73</v>
      </c>
      <c r="R47" t="s">
        <v>228</v>
      </c>
      <c r="S47" t="s">
        <v>74</v>
      </c>
      <c r="T47" t="s">
        <v>75</v>
      </c>
      <c r="U47">
        <v>8481400090</v>
      </c>
      <c r="V47" t="s">
        <v>334</v>
      </c>
      <c r="W47" t="s">
        <v>335</v>
      </c>
      <c r="X47" t="s">
        <v>336</v>
      </c>
      <c r="Y47" t="s">
        <v>337</v>
      </c>
      <c r="Z47" t="s">
        <v>338</v>
      </c>
      <c r="AA47" t="s">
        <v>147</v>
      </c>
      <c r="AD47" t="str">
        <f>Tabla1[[#This Row],[DESCRIPCIÓN DE MERCANCÍA 1]]</f>
        <v>WF860262-I</v>
      </c>
      <c r="AG47">
        <v>868</v>
      </c>
      <c r="AH47">
        <v>44.17</v>
      </c>
      <c r="AI47">
        <v>8.68</v>
      </c>
      <c r="AJ47">
        <v>920.85</v>
      </c>
      <c r="AK47">
        <v>0</v>
      </c>
      <c r="AL47">
        <v>147.34</v>
      </c>
      <c r="AM47">
        <v>18.420000000000002</v>
      </c>
      <c r="AN47">
        <v>23.42</v>
      </c>
      <c r="AO47">
        <v>27.41</v>
      </c>
      <c r="AP47">
        <v>4</v>
      </c>
      <c r="AQ47" t="s">
        <v>82</v>
      </c>
      <c r="AR47">
        <v>230.21</v>
      </c>
      <c r="AS47">
        <v>4</v>
      </c>
      <c r="AT47" t="s">
        <v>107</v>
      </c>
      <c r="AU47" t="s">
        <v>84</v>
      </c>
      <c r="AV47">
        <v>0</v>
      </c>
      <c r="AW47" t="s">
        <v>85</v>
      </c>
      <c r="AX47" t="s">
        <v>235</v>
      </c>
      <c r="AY47" t="s">
        <v>87</v>
      </c>
      <c r="AZ47" t="s">
        <v>88</v>
      </c>
      <c r="BA47" t="s">
        <v>89</v>
      </c>
      <c r="BB47" t="s">
        <v>236</v>
      </c>
      <c r="BC47">
        <v>14587</v>
      </c>
      <c r="BD47">
        <v>20240627</v>
      </c>
      <c r="BE47">
        <v>217</v>
      </c>
      <c r="BG47">
        <v>6876137973</v>
      </c>
      <c r="BH47">
        <v>20240624</v>
      </c>
      <c r="BJ47" t="s">
        <v>89</v>
      </c>
      <c r="BK47" t="s">
        <v>91</v>
      </c>
    </row>
    <row r="48" spans="1:63" ht="12.75" x14ac:dyDescent="0.2">
      <c r="A48">
        <v>26</v>
      </c>
      <c r="B48">
        <v>6</v>
      </c>
      <c r="C48">
        <v>2024</v>
      </c>
      <c r="D48" t="s">
        <v>333</v>
      </c>
      <c r="E48">
        <v>6</v>
      </c>
      <c r="F48" t="s">
        <v>65</v>
      </c>
      <c r="G48" t="s">
        <v>66</v>
      </c>
      <c r="H48">
        <v>20550731399</v>
      </c>
      <c r="I48" t="s">
        <v>67</v>
      </c>
      <c r="J48" t="s">
        <v>68</v>
      </c>
      <c r="K48" t="s">
        <v>69</v>
      </c>
      <c r="L48" t="s">
        <v>69</v>
      </c>
      <c r="M48" t="s">
        <v>70</v>
      </c>
      <c r="N48" t="s">
        <v>71</v>
      </c>
      <c r="O48" t="s">
        <v>71</v>
      </c>
      <c r="P48" t="s">
        <v>72</v>
      </c>
      <c r="Q48" t="s">
        <v>73</v>
      </c>
      <c r="R48" t="s">
        <v>228</v>
      </c>
      <c r="S48" t="s">
        <v>74</v>
      </c>
      <c r="T48" t="s">
        <v>75</v>
      </c>
      <c r="U48">
        <v>4016930000</v>
      </c>
      <c r="V48" t="s">
        <v>76</v>
      </c>
      <c r="W48" t="s">
        <v>339</v>
      </c>
      <c r="X48" t="s">
        <v>1395</v>
      </c>
      <c r="Y48" t="s">
        <v>137</v>
      </c>
      <c r="Z48" t="s">
        <v>79</v>
      </c>
      <c r="AA48" t="s">
        <v>147</v>
      </c>
      <c r="AD48" t="str">
        <f>Tabla1[[#This Row],[DESCRIPCIÓN DE MERCANCÍA 1]]</f>
        <v>V920025</v>
      </c>
      <c r="AG48">
        <v>180</v>
      </c>
      <c r="AH48">
        <v>9.16</v>
      </c>
      <c r="AI48">
        <v>3.15</v>
      </c>
      <c r="AJ48">
        <v>192.31</v>
      </c>
      <c r="AK48">
        <v>11.54</v>
      </c>
      <c r="AL48">
        <v>32.619999999999997</v>
      </c>
      <c r="AM48">
        <v>4.08</v>
      </c>
      <c r="AN48">
        <v>4.8600000000000003</v>
      </c>
      <c r="AO48">
        <v>5.68</v>
      </c>
      <c r="AP48">
        <v>6</v>
      </c>
      <c r="AQ48" t="s">
        <v>82</v>
      </c>
      <c r="AR48">
        <v>32.049999999999997</v>
      </c>
      <c r="AS48">
        <v>6</v>
      </c>
      <c r="AT48" t="s">
        <v>107</v>
      </c>
      <c r="AU48" t="s">
        <v>84</v>
      </c>
      <c r="AV48">
        <v>0</v>
      </c>
      <c r="AW48" t="s">
        <v>85</v>
      </c>
      <c r="AX48" t="s">
        <v>235</v>
      </c>
      <c r="AY48" t="s">
        <v>87</v>
      </c>
      <c r="AZ48" t="s">
        <v>88</v>
      </c>
      <c r="BA48" t="s">
        <v>89</v>
      </c>
      <c r="BB48" t="s">
        <v>236</v>
      </c>
      <c r="BC48">
        <v>14587</v>
      </c>
      <c r="BD48">
        <v>20240627</v>
      </c>
      <c r="BE48">
        <v>30</v>
      </c>
      <c r="BG48">
        <v>6876137973</v>
      </c>
      <c r="BH48">
        <v>20240624</v>
      </c>
      <c r="BJ48" t="s">
        <v>89</v>
      </c>
      <c r="BK48" t="s">
        <v>91</v>
      </c>
    </row>
    <row r="49" spans="1:63" ht="12.75" x14ac:dyDescent="0.2">
      <c r="A49">
        <v>26</v>
      </c>
      <c r="B49">
        <v>6</v>
      </c>
      <c r="C49">
        <v>2024</v>
      </c>
      <c r="D49" t="s">
        <v>333</v>
      </c>
      <c r="E49">
        <v>3</v>
      </c>
      <c r="F49" t="s">
        <v>65</v>
      </c>
      <c r="G49" t="s">
        <v>66</v>
      </c>
      <c r="H49">
        <v>20550731399</v>
      </c>
      <c r="I49" t="s">
        <v>67</v>
      </c>
      <c r="J49" t="s">
        <v>68</v>
      </c>
      <c r="K49" t="s">
        <v>69</v>
      </c>
      <c r="L49" t="s">
        <v>69</v>
      </c>
      <c r="M49" t="s">
        <v>70</v>
      </c>
      <c r="N49" t="s">
        <v>71</v>
      </c>
      <c r="O49" t="s">
        <v>71</v>
      </c>
      <c r="P49" t="s">
        <v>72</v>
      </c>
      <c r="Q49" t="s">
        <v>73</v>
      </c>
      <c r="R49" t="s">
        <v>228</v>
      </c>
      <c r="S49" t="s">
        <v>74</v>
      </c>
      <c r="T49" t="s">
        <v>75</v>
      </c>
      <c r="U49">
        <v>4016930000</v>
      </c>
      <c r="V49" t="s">
        <v>76</v>
      </c>
      <c r="W49" t="s">
        <v>341</v>
      </c>
      <c r="X49" t="s">
        <v>342</v>
      </c>
      <c r="Y49" t="s">
        <v>137</v>
      </c>
      <c r="Z49" t="s">
        <v>79</v>
      </c>
      <c r="AA49" t="s">
        <v>147</v>
      </c>
      <c r="AD49" t="str">
        <f>Tabla1[[#This Row],[DESCRIPCIÓN DE MERCANCÍA 1]]</f>
        <v>VS24-26387-0</v>
      </c>
      <c r="AG49">
        <v>390</v>
      </c>
      <c r="AH49">
        <v>19.84</v>
      </c>
      <c r="AI49">
        <v>6.83</v>
      </c>
      <c r="AJ49">
        <v>416.67</v>
      </c>
      <c r="AK49">
        <v>25</v>
      </c>
      <c r="AL49">
        <v>70.67</v>
      </c>
      <c r="AM49">
        <v>8.83</v>
      </c>
      <c r="AN49">
        <v>10.52</v>
      </c>
      <c r="AO49">
        <v>12.32</v>
      </c>
      <c r="AP49">
        <v>10</v>
      </c>
      <c r="AQ49" t="s">
        <v>82</v>
      </c>
      <c r="AR49">
        <v>41.67</v>
      </c>
      <c r="AS49">
        <v>10</v>
      </c>
      <c r="AT49" t="s">
        <v>107</v>
      </c>
      <c r="AU49" t="s">
        <v>84</v>
      </c>
      <c r="AV49">
        <v>0</v>
      </c>
      <c r="AW49" t="s">
        <v>85</v>
      </c>
      <c r="AX49" t="s">
        <v>235</v>
      </c>
      <c r="AY49" t="s">
        <v>87</v>
      </c>
      <c r="AZ49" t="s">
        <v>88</v>
      </c>
      <c r="BA49" t="s">
        <v>89</v>
      </c>
      <c r="BB49" t="s">
        <v>236</v>
      </c>
      <c r="BC49">
        <v>14587</v>
      </c>
      <c r="BD49">
        <v>20240627</v>
      </c>
      <c r="BE49">
        <v>39</v>
      </c>
      <c r="BG49">
        <v>6876137973</v>
      </c>
      <c r="BH49">
        <v>20240624</v>
      </c>
      <c r="BJ49" t="s">
        <v>89</v>
      </c>
      <c r="BK49" t="s">
        <v>91</v>
      </c>
    </row>
    <row r="50" spans="1:63" ht="12.75" x14ac:dyDescent="0.2">
      <c r="A50">
        <v>26</v>
      </c>
      <c r="B50">
        <v>6</v>
      </c>
      <c r="C50">
        <v>2024</v>
      </c>
      <c r="D50" t="s">
        <v>333</v>
      </c>
      <c r="E50">
        <v>4</v>
      </c>
      <c r="F50" t="s">
        <v>65</v>
      </c>
      <c r="G50" t="s">
        <v>66</v>
      </c>
      <c r="H50">
        <v>20550731399</v>
      </c>
      <c r="I50" t="s">
        <v>67</v>
      </c>
      <c r="J50" t="s">
        <v>68</v>
      </c>
      <c r="K50" t="s">
        <v>69</v>
      </c>
      <c r="L50" t="s">
        <v>69</v>
      </c>
      <c r="M50" t="s">
        <v>70</v>
      </c>
      <c r="N50" t="s">
        <v>71</v>
      </c>
      <c r="O50" t="s">
        <v>71</v>
      </c>
      <c r="P50" t="s">
        <v>72</v>
      </c>
      <c r="Q50" t="s">
        <v>73</v>
      </c>
      <c r="R50" t="s">
        <v>228</v>
      </c>
      <c r="S50" t="s">
        <v>74</v>
      </c>
      <c r="T50" t="s">
        <v>75</v>
      </c>
      <c r="U50">
        <v>4016930000</v>
      </c>
      <c r="V50" t="s">
        <v>76</v>
      </c>
      <c r="W50" t="s">
        <v>343</v>
      </c>
      <c r="X50" t="s">
        <v>344</v>
      </c>
      <c r="Y50" t="s">
        <v>137</v>
      </c>
      <c r="Z50" t="s">
        <v>79</v>
      </c>
      <c r="AA50" t="s">
        <v>147</v>
      </c>
      <c r="AD50" t="str">
        <f>Tabla1[[#This Row],[DESCRIPCIÓN DE MERCANCÍA 1]]</f>
        <v>VS24-10219-0</v>
      </c>
      <c r="AG50">
        <v>1900</v>
      </c>
      <c r="AH50">
        <v>96.68</v>
      </c>
      <c r="AI50">
        <v>33.25</v>
      </c>
      <c r="AJ50">
        <v>2029.93</v>
      </c>
      <c r="AK50">
        <v>121.8</v>
      </c>
      <c r="AL50">
        <v>344.28</v>
      </c>
      <c r="AM50">
        <v>43.03</v>
      </c>
      <c r="AN50">
        <v>51.27</v>
      </c>
      <c r="AO50">
        <v>60</v>
      </c>
      <c r="AP50">
        <v>50</v>
      </c>
      <c r="AQ50" t="s">
        <v>82</v>
      </c>
      <c r="AR50">
        <v>40.6</v>
      </c>
      <c r="AS50">
        <v>50</v>
      </c>
      <c r="AT50" t="s">
        <v>107</v>
      </c>
      <c r="AU50" t="s">
        <v>84</v>
      </c>
      <c r="AV50">
        <v>0</v>
      </c>
      <c r="AW50" t="s">
        <v>85</v>
      </c>
      <c r="AX50" t="s">
        <v>235</v>
      </c>
      <c r="AY50" t="s">
        <v>87</v>
      </c>
      <c r="AZ50" t="s">
        <v>88</v>
      </c>
      <c r="BA50" t="s">
        <v>89</v>
      </c>
      <c r="BB50" t="s">
        <v>236</v>
      </c>
      <c r="BC50">
        <v>14587</v>
      </c>
      <c r="BD50">
        <v>20240627</v>
      </c>
      <c r="BE50">
        <v>38</v>
      </c>
      <c r="BG50">
        <v>6876137973</v>
      </c>
      <c r="BH50">
        <v>20240624</v>
      </c>
      <c r="BJ50" t="s">
        <v>89</v>
      </c>
      <c r="BK50" t="s">
        <v>91</v>
      </c>
    </row>
    <row r="51" spans="1:63" ht="12.75" x14ac:dyDescent="0.2">
      <c r="A51">
        <v>26</v>
      </c>
      <c r="B51">
        <v>6</v>
      </c>
      <c r="C51">
        <v>2024</v>
      </c>
      <c r="D51" t="s">
        <v>333</v>
      </c>
      <c r="E51">
        <v>1</v>
      </c>
      <c r="F51" t="s">
        <v>65</v>
      </c>
      <c r="G51" t="s">
        <v>66</v>
      </c>
      <c r="H51">
        <v>20550731399</v>
      </c>
      <c r="I51" t="s">
        <v>67</v>
      </c>
      <c r="J51" t="s">
        <v>68</v>
      </c>
      <c r="K51" t="s">
        <v>69</v>
      </c>
      <c r="L51" t="s">
        <v>69</v>
      </c>
      <c r="M51" t="s">
        <v>70</v>
      </c>
      <c r="N51" t="s">
        <v>71</v>
      </c>
      <c r="O51" t="s">
        <v>71</v>
      </c>
      <c r="P51" t="s">
        <v>72</v>
      </c>
      <c r="Q51" t="s">
        <v>73</v>
      </c>
      <c r="R51" t="s">
        <v>228</v>
      </c>
      <c r="S51" t="s">
        <v>74</v>
      </c>
      <c r="T51" t="s">
        <v>75</v>
      </c>
      <c r="U51">
        <v>8481400090</v>
      </c>
      <c r="V51" t="s">
        <v>334</v>
      </c>
      <c r="W51" t="s">
        <v>345</v>
      </c>
      <c r="X51" t="s">
        <v>346</v>
      </c>
      <c r="Y51" t="s">
        <v>337</v>
      </c>
      <c r="Z51" t="s">
        <v>338</v>
      </c>
      <c r="AA51" t="s">
        <v>147</v>
      </c>
      <c r="AD51" t="str">
        <f>Tabla1[[#This Row],[DESCRIPCIÓN DE MERCANCÍA 1]]</f>
        <v>WF860259-I</v>
      </c>
      <c r="AG51">
        <v>320</v>
      </c>
      <c r="AH51">
        <v>16.28</v>
      </c>
      <c r="AI51">
        <v>3.2</v>
      </c>
      <c r="AJ51">
        <v>339.48</v>
      </c>
      <c r="AK51">
        <v>0</v>
      </c>
      <c r="AL51">
        <v>54.32</v>
      </c>
      <c r="AM51">
        <v>6.79</v>
      </c>
      <c r="AN51">
        <v>8.6300000000000008</v>
      </c>
      <c r="AO51">
        <v>10.11</v>
      </c>
      <c r="AP51">
        <v>2</v>
      </c>
      <c r="AQ51" t="s">
        <v>82</v>
      </c>
      <c r="AR51">
        <v>169.74</v>
      </c>
      <c r="AS51">
        <v>2</v>
      </c>
      <c r="AT51" t="s">
        <v>107</v>
      </c>
      <c r="AU51" t="s">
        <v>84</v>
      </c>
      <c r="AV51">
        <v>1</v>
      </c>
      <c r="AW51" t="s">
        <v>85</v>
      </c>
      <c r="AX51" t="s">
        <v>235</v>
      </c>
      <c r="AY51" t="s">
        <v>87</v>
      </c>
      <c r="AZ51" t="s">
        <v>88</v>
      </c>
      <c r="BA51" t="s">
        <v>89</v>
      </c>
      <c r="BB51" t="s">
        <v>236</v>
      </c>
      <c r="BC51">
        <v>14587</v>
      </c>
      <c r="BD51">
        <v>20240627</v>
      </c>
      <c r="BE51">
        <v>160</v>
      </c>
      <c r="BG51">
        <v>6876137973</v>
      </c>
      <c r="BH51">
        <v>20240624</v>
      </c>
      <c r="BJ51" t="s">
        <v>89</v>
      </c>
      <c r="BK51" t="s">
        <v>91</v>
      </c>
    </row>
    <row r="52" spans="1:63" ht="12.75" x14ac:dyDescent="0.2">
      <c r="A52">
        <v>26</v>
      </c>
      <c r="B52">
        <v>6</v>
      </c>
      <c r="C52">
        <v>2024</v>
      </c>
      <c r="D52" t="s">
        <v>333</v>
      </c>
      <c r="E52">
        <v>5</v>
      </c>
      <c r="F52" t="s">
        <v>65</v>
      </c>
      <c r="G52" t="s">
        <v>66</v>
      </c>
      <c r="H52">
        <v>20550731399</v>
      </c>
      <c r="I52" t="s">
        <v>67</v>
      </c>
      <c r="J52" t="s">
        <v>68</v>
      </c>
      <c r="K52" t="s">
        <v>69</v>
      </c>
      <c r="L52" t="s">
        <v>69</v>
      </c>
      <c r="M52" t="s">
        <v>70</v>
      </c>
      <c r="N52" t="s">
        <v>71</v>
      </c>
      <c r="O52" t="s">
        <v>71</v>
      </c>
      <c r="P52" t="s">
        <v>72</v>
      </c>
      <c r="Q52" t="s">
        <v>73</v>
      </c>
      <c r="R52" t="s">
        <v>228</v>
      </c>
      <c r="S52" t="s">
        <v>74</v>
      </c>
      <c r="T52" t="s">
        <v>75</v>
      </c>
      <c r="U52">
        <v>8483109900</v>
      </c>
      <c r="V52" t="s">
        <v>197</v>
      </c>
      <c r="W52" t="s">
        <v>347</v>
      </c>
      <c r="X52" t="s">
        <v>1385</v>
      </c>
      <c r="Y52" t="s">
        <v>348</v>
      </c>
      <c r="Z52" t="s">
        <v>194</v>
      </c>
      <c r="AA52" t="s">
        <v>147</v>
      </c>
      <c r="AD52" t="str">
        <f>Tabla1[[#This Row],[DESCRIPCIÓN DE MERCANCÍA 1]]</f>
        <v>WF374338</v>
      </c>
      <c r="AG52">
        <v>48</v>
      </c>
      <c r="AH52">
        <v>2.44</v>
      </c>
      <c r="AI52">
        <v>0.48</v>
      </c>
      <c r="AJ52">
        <v>50.92</v>
      </c>
      <c r="AK52">
        <v>0</v>
      </c>
      <c r="AL52">
        <v>8.15</v>
      </c>
      <c r="AM52">
        <v>1.02</v>
      </c>
      <c r="AN52">
        <v>1.29</v>
      </c>
      <c r="AO52">
        <v>1.52</v>
      </c>
      <c r="AP52">
        <v>2</v>
      </c>
      <c r="AQ52" t="s">
        <v>82</v>
      </c>
      <c r="AR52">
        <v>25.46</v>
      </c>
      <c r="AS52">
        <v>2</v>
      </c>
      <c r="AT52" t="s">
        <v>107</v>
      </c>
      <c r="AU52" t="s">
        <v>84</v>
      </c>
      <c r="AV52">
        <v>0</v>
      </c>
      <c r="AW52" t="s">
        <v>85</v>
      </c>
      <c r="AX52" t="s">
        <v>235</v>
      </c>
      <c r="AY52" t="s">
        <v>87</v>
      </c>
      <c r="AZ52" t="s">
        <v>88</v>
      </c>
      <c r="BA52" t="s">
        <v>89</v>
      </c>
      <c r="BB52" t="s">
        <v>236</v>
      </c>
      <c r="BC52">
        <v>14587</v>
      </c>
      <c r="BD52">
        <v>20240627</v>
      </c>
      <c r="BE52">
        <v>24</v>
      </c>
      <c r="BG52">
        <v>6876137973</v>
      </c>
      <c r="BH52">
        <v>20240624</v>
      </c>
      <c r="BJ52" t="s">
        <v>89</v>
      </c>
      <c r="BK52" t="s">
        <v>91</v>
      </c>
    </row>
    <row r="53" spans="1:63" ht="12.75" x14ac:dyDescent="0.2">
      <c r="A53">
        <v>28</v>
      </c>
      <c r="B53">
        <v>6</v>
      </c>
      <c r="C53">
        <v>2024</v>
      </c>
      <c r="D53" t="s">
        <v>349</v>
      </c>
      <c r="E53">
        <v>1</v>
      </c>
      <c r="F53" t="s">
        <v>65</v>
      </c>
      <c r="G53" t="s">
        <v>66</v>
      </c>
      <c r="H53">
        <v>20550731399</v>
      </c>
      <c r="I53" t="s">
        <v>67</v>
      </c>
      <c r="J53" t="s">
        <v>68</v>
      </c>
      <c r="K53" t="s">
        <v>69</v>
      </c>
      <c r="L53" t="s">
        <v>69</v>
      </c>
      <c r="M53" t="s">
        <v>70</v>
      </c>
      <c r="N53" t="s">
        <v>71</v>
      </c>
      <c r="O53" t="s">
        <v>71</v>
      </c>
      <c r="P53" t="s">
        <v>72</v>
      </c>
      <c r="Q53" t="s">
        <v>73</v>
      </c>
      <c r="R53" t="s">
        <v>98</v>
      </c>
      <c r="S53" t="s">
        <v>98</v>
      </c>
      <c r="T53" t="s">
        <v>350</v>
      </c>
      <c r="U53">
        <v>8421299000</v>
      </c>
      <c r="V53" t="s">
        <v>351</v>
      </c>
      <c r="W53" t="s">
        <v>352</v>
      </c>
      <c r="Y53" t="s">
        <v>353</v>
      </c>
      <c r="Z53" t="s">
        <v>354</v>
      </c>
      <c r="AA53" t="s">
        <v>355</v>
      </c>
      <c r="AB53" t="s">
        <v>355</v>
      </c>
      <c r="AC53" t="s">
        <v>81</v>
      </c>
      <c r="AD53" t="s">
        <v>356</v>
      </c>
      <c r="AE53" t="s">
        <v>355</v>
      </c>
      <c r="AG53">
        <v>1050.17</v>
      </c>
      <c r="AH53">
        <v>85.18</v>
      </c>
      <c r="AI53">
        <v>10.5</v>
      </c>
      <c r="AJ53">
        <v>1145.8499999999999</v>
      </c>
      <c r="AK53">
        <v>0</v>
      </c>
      <c r="AL53">
        <v>183.34</v>
      </c>
      <c r="AM53">
        <v>22.92</v>
      </c>
      <c r="AN53">
        <v>21.45</v>
      </c>
      <c r="AO53">
        <v>22.58</v>
      </c>
      <c r="AP53">
        <v>12</v>
      </c>
      <c r="AQ53" t="s">
        <v>82</v>
      </c>
      <c r="AR53">
        <v>95.49</v>
      </c>
      <c r="AS53">
        <v>12</v>
      </c>
      <c r="AT53" t="s">
        <v>107</v>
      </c>
      <c r="AU53" t="s">
        <v>84</v>
      </c>
      <c r="AV53">
        <v>1</v>
      </c>
      <c r="AW53" t="s">
        <v>85</v>
      </c>
      <c r="AY53" t="s">
        <v>87</v>
      </c>
      <c r="AZ53" t="s">
        <v>357</v>
      </c>
      <c r="BA53" t="s">
        <v>89</v>
      </c>
      <c r="BB53" t="s">
        <v>90</v>
      </c>
      <c r="BC53">
        <v>17386</v>
      </c>
      <c r="BD53">
        <v>20240628</v>
      </c>
      <c r="BE53">
        <v>87.513999999999996</v>
      </c>
      <c r="BG53">
        <v>1628419855</v>
      </c>
      <c r="BH53">
        <v>20240626</v>
      </c>
      <c r="BJ53" t="s">
        <v>89</v>
      </c>
    </row>
    <row r="54" spans="1:63" ht="12.75" x14ac:dyDescent="0.2">
      <c r="A54">
        <v>28</v>
      </c>
      <c r="B54">
        <v>6</v>
      </c>
      <c r="C54">
        <v>2024</v>
      </c>
      <c r="D54" t="s">
        <v>349</v>
      </c>
      <c r="E54">
        <v>2</v>
      </c>
      <c r="F54" t="s">
        <v>65</v>
      </c>
      <c r="G54" t="s">
        <v>66</v>
      </c>
      <c r="H54">
        <v>20550731399</v>
      </c>
      <c r="I54" t="s">
        <v>67</v>
      </c>
      <c r="J54" t="s">
        <v>68</v>
      </c>
      <c r="K54" t="s">
        <v>69</v>
      </c>
      <c r="L54" t="s">
        <v>69</v>
      </c>
      <c r="M54" t="s">
        <v>70</v>
      </c>
      <c r="N54" t="s">
        <v>71</v>
      </c>
      <c r="O54" t="s">
        <v>71</v>
      </c>
      <c r="P54" t="s">
        <v>72</v>
      </c>
      <c r="Q54" t="s">
        <v>73</v>
      </c>
      <c r="R54" t="s">
        <v>98</v>
      </c>
      <c r="S54" t="s">
        <v>98</v>
      </c>
      <c r="T54" t="s">
        <v>350</v>
      </c>
      <c r="U54">
        <v>8421299000</v>
      </c>
      <c r="V54" t="s">
        <v>351</v>
      </c>
      <c r="W54" t="s">
        <v>358</v>
      </c>
      <c r="Y54" t="s">
        <v>353</v>
      </c>
      <c r="Z54" t="s">
        <v>354</v>
      </c>
      <c r="AA54" t="s">
        <v>355</v>
      </c>
      <c r="AB54" t="s">
        <v>355</v>
      </c>
      <c r="AC54" t="s">
        <v>81</v>
      </c>
      <c r="AD54" t="s">
        <v>359</v>
      </c>
      <c r="AE54" t="s">
        <v>355</v>
      </c>
      <c r="AG54">
        <v>2607.62</v>
      </c>
      <c r="AH54">
        <v>211.5</v>
      </c>
      <c r="AI54">
        <v>26.08</v>
      </c>
      <c r="AJ54">
        <v>2845.2</v>
      </c>
      <c r="AK54">
        <v>0</v>
      </c>
      <c r="AL54">
        <v>455.23</v>
      </c>
      <c r="AM54">
        <v>56.9</v>
      </c>
      <c r="AN54">
        <v>53.27</v>
      </c>
      <c r="AO54">
        <v>56.07</v>
      </c>
      <c r="AP54">
        <v>12</v>
      </c>
      <c r="AQ54" t="s">
        <v>82</v>
      </c>
      <c r="AR54">
        <v>237.1</v>
      </c>
      <c r="AS54">
        <v>12</v>
      </c>
      <c r="AT54" t="s">
        <v>107</v>
      </c>
      <c r="AU54" t="s">
        <v>84</v>
      </c>
      <c r="AV54">
        <v>0</v>
      </c>
      <c r="AW54" t="s">
        <v>85</v>
      </c>
      <c r="AY54" t="s">
        <v>87</v>
      </c>
      <c r="AZ54" t="s">
        <v>357</v>
      </c>
      <c r="BA54" t="s">
        <v>89</v>
      </c>
      <c r="BB54" t="s">
        <v>90</v>
      </c>
      <c r="BC54">
        <v>17386</v>
      </c>
      <c r="BD54">
        <v>20240628</v>
      </c>
      <c r="BE54">
        <v>217.30199999999999</v>
      </c>
      <c r="BG54">
        <v>1628419855</v>
      </c>
      <c r="BH54">
        <v>20240626</v>
      </c>
      <c r="BJ54" t="s">
        <v>89</v>
      </c>
    </row>
    <row r="55" spans="1:63" ht="12.75" x14ac:dyDescent="0.2">
      <c r="A55">
        <v>28</v>
      </c>
      <c r="B55">
        <v>6</v>
      </c>
      <c r="C55">
        <v>2024</v>
      </c>
      <c r="D55" t="s">
        <v>349</v>
      </c>
      <c r="E55">
        <v>3</v>
      </c>
      <c r="F55" t="s">
        <v>65</v>
      </c>
      <c r="G55" t="s">
        <v>66</v>
      </c>
      <c r="H55">
        <v>20550731399</v>
      </c>
      <c r="I55" t="s">
        <v>67</v>
      </c>
      <c r="J55" t="s">
        <v>68</v>
      </c>
      <c r="K55" t="s">
        <v>69</v>
      </c>
      <c r="L55" t="s">
        <v>69</v>
      </c>
      <c r="M55" t="s">
        <v>70</v>
      </c>
      <c r="N55" t="s">
        <v>71</v>
      </c>
      <c r="O55" t="s">
        <v>71</v>
      </c>
      <c r="P55" t="s">
        <v>72</v>
      </c>
      <c r="Q55" t="s">
        <v>73</v>
      </c>
      <c r="R55" t="s">
        <v>74</v>
      </c>
      <c r="S55" t="s">
        <v>98</v>
      </c>
      <c r="T55" t="s">
        <v>350</v>
      </c>
      <c r="U55">
        <v>4016930000</v>
      </c>
      <c r="V55" t="s">
        <v>76</v>
      </c>
      <c r="W55" t="s">
        <v>360</v>
      </c>
      <c r="Y55" t="s">
        <v>361</v>
      </c>
      <c r="Z55" t="s">
        <v>362</v>
      </c>
      <c r="AA55" t="s">
        <v>79</v>
      </c>
      <c r="AB55" t="s">
        <v>79</v>
      </c>
      <c r="AC55" t="s">
        <v>81</v>
      </c>
      <c r="AD55" t="s">
        <v>363</v>
      </c>
      <c r="AE55" t="s">
        <v>79</v>
      </c>
      <c r="AG55">
        <v>294.95999999999998</v>
      </c>
      <c r="AH55">
        <v>23.92</v>
      </c>
      <c r="AI55">
        <v>5.16</v>
      </c>
      <c r="AJ55">
        <v>324.05</v>
      </c>
      <c r="AK55">
        <v>19.440000000000001</v>
      </c>
      <c r="AL55">
        <v>54.96</v>
      </c>
      <c r="AM55">
        <v>6.87</v>
      </c>
      <c r="AN55">
        <v>6.03</v>
      </c>
      <c r="AO55">
        <v>6.34</v>
      </c>
      <c r="AP55">
        <v>12</v>
      </c>
      <c r="AQ55" t="s">
        <v>82</v>
      </c>
      <c r="AR55">
        <v>27</v>
      </c>
      <c r="AS55">
        <v>12</v>
      </c>
      <c r="AT55" t="s">
        <v>83</v>
      </c>
      <c r="AU55" t="s">
        <v>84</v>
      </c>
      <c r="AV55">
        <v>0</v>
      </c>
      <c r="AW55" t="s">
        <v>85</v>
      </c>
      <c r="AY55" t="s">
        <v>87</v>
      </c>
      <c r="AZ55" t="s">
        <v>357</v>
      </c>
      <c r="BA55" t="s">
        <v>89</v>
      </c>
      <c r="BB55" t="s">
        <v>90</v>
      </c>
      <c r="BC55">
        <v>17386</v>
      </c>
      <c r="BD55">
        <v>20240628</v>
      </c>
      <c r="BE55">
        <v>24.58</v>
      </c>
      <c r="BG55">
        <v>1628419855</v>
      </c>
      <c r="BH55">
        <v>20240626</v>
      </c>
      <c r="BJ55" t="s">
        <v>89</v>
      </c>
    </row>
    <row r="56" spans="1:63" ht="12.75" x14ac:dyDescent="0.2">
      <c r="A56">
        <v>9</v>
      </c>
      <c r="B56">
        <v>7</v>
      </c>
      <c r="C56">
        <v>2024</v>
      </c>
      <c r="D56">
        <v>104148</v>
      </c>
      <c r="E56">
        <v>2</v>
      </c>
      <c r="F56" t="s">
        <v>65</v>
      </c>
      <c r="G56" t="s">
        <v>66</v>
      </c>
      <c r="H56">
        <v>20550731399</v>
      </c>
      <c r="I56" t="s">
        <v>67</v>
      </c>
      <c r="J56" t="s">
        <v>68</v>
      </c>
      <c r="K56" t="s">
        <v>69</v>
      </c>
      <c r="L56" t="s">
        <v>69</v>
      </c>
      <c r="M56" t="s">
        <v>70</v>
      </c>
      <c r="N56" t="s">
        <v>71</v>
      </c>
      <c r="O56" t="s">
        <v>71</v>
      </c>
      <c r="P56" t="s">
        <v>72</v>
      </c>
      <c r="Q56" t="s">
        <v>73</v>
      </c>
      <c r="R56" t="s">
        <v>228</v>
      </c>
      <c r="S56" t="s">
        <v>74</v>
      </c>
      <c r="T56" t="s">
        <v>364</v>
      </c>
      <c r="U56">
        <v>8483109900</v>
      </c>
      <c r="V56" t="s">
        <v>197</v>
      </c>
      <c r="W56" t="s">
        <v>365</v>
      </c>
      <c r="X56" t="s">
        <v>195</v>
      </c>
      <c r="Y56" t="s">
        <v>366</v>
      </c>
      <c r="Z56" t="s">
        <v>194</v>
      </c>
      <c r="AA56" t="s">
        <v>107</v>
      </c>
      <c r="AB56" t="s">
        <v>194</v>
      </c>
      <c r="AC56" t="s">
        <v>367</v>
      </c>
      <c r="AD56" t="s">
        <v>195</v>
      </c>
      <c r="AE56" t="s">
        <v>107</v>
      </c>
      <c r="AG56">
        <v>1852.03</v>
      </c>
      <c r="AH56">
        <v>96.78</v>
      </c>
      <c r="AI56">
        <v>18.52</v>
      </c>
      <c r="AJ56">
        <v>1967.33</v>
      </c>
      <c r="AK56">
        <v>0</v>
      </c>
      <c r="AL56">
        <v>314.77</v>
      </c>
      <c r="AM56">
        <v>39.35</v>
      </c>
      <c r="AN56">
        <v>17.96</v>
      </c>
      <c r="AO56">
        <v>25.38</v>
      </c>
      <c r="AP56">
        <v>10</v>
      </c>
      <c r="AQ56" t="s">
        <v>82</v>
      </c>
      <c r="AR56">
        <v>196.733</v>
      </c>
      <c r="AS56">
        <v>10</v>
      </c>
      <c r="AT56" t="s">
        <v>107</v>
      </c>
      <c r="AU56" t="s">
        <v>84</v>
      </c>
      <c r="AV56">
        <v>0</v>
      </c>
      <c r="AW56" t="s">
        <v>85</v>
      </c>
      <c r="AY56" t="s">
        <v>87</v>
      </c>
      <c r="AZ56" t="s">
        <v>88</v>
      </c>
      <c r="BA56" t="s">
        <v>89</v>
      </c>
      <c r="BB56" t="s">
        <v>90</v>
      </c>
      <c r="BC56">
        <v>17498</v>
      </c>
      <c r="BD56">
        <v>20240710</v>
      </c>
      <c r="BE56">
        <v>185.203</v>
      </c>
      <c r="BG56">
        <v>6852624634</v>
      </c>
      <c r="BH56">
        <v>20240705</v>
      </c>
      <c r="BJ56" t="s">
        <v>89</v>
      </c>
      <c r="BK56" t="s">
        <v>171</v>
      </c>
    </row>
    <row r="57" spans="1:63" ht="12.75" x14ac:dyDescent="0.2">
      <c r="A57">
        <v>9</v>
      </c>
      <c r="B57">
        <v>7</v>
      </c>
      <c r="C57">
        <v>2024</v>
      </c>
      <c r="D57">
        <v>104148</v>
      </c>
      <c r="E57">
        <v>1</v>
      </c>
      <c r="F57" t="s">
        <v>65</v>
      </c>
      <c r="G57" t="s">
        <v>66</v>
      </c>
      <c r="H57">
        <v>20550731399</v>
      </c>
      <c r="I57" t="s">
        <v>67</v>
      </c>
      <c r="J57" t="s">
        <v>68</v>
      </c>
      <c r="K57" t="s">
        <v>69</v>
      </c>
      <c r="L57" t="s">
        <v>69</v>
      </c>
      <c r="M57" t="s">
        <v>70</v>
      </c>
      <c r="N57" t="s">
        <v>71</v>
      </c>
      <c r="O57" t="s">
        <v>71</v>
      </c>
      <c r="P57" t="s">
        <v>72</v>
      </c>
      <c r="Q57" t="s">
        <v>73</v>
      </c>
      <c r="R57" t="s">
        <v>228</v>
      </c>
      <c r="S57" t="s">
        <v>74</v>
      </c>
      <c r="T57" t="s">
        <v>364</v>
      </c>
      <c r="U57">
        <v>8412900000</v>
      </c>
      <c r="V57" t="s">
        <v>129</v>
      </c>
      <c r="W57" t="s">
        <v>368</v>
      </c>
      <c r="X57">
        <v>923100</v>
      </c>
      <c r="Y57" t="s">
        <v>369</v>
      </c>
      <c r="Z57" t="s">
        <v>370</v>
      </c>
      <c r="AA57" t="s">
        <v>107</v>
      </c>
      <c r="AB57" t="s">
        <v>371</v>
      </c>
      <c r="AC57" t="s">
        <v>367</v>
      </c>
      <c r="AD57">
        <v>923100</v>
      </c>
      <c r="AE57" t="s">
        <v>107</v>
      </c>
      <c r="AG57">
        <v>1756.74</v>
      </c>
      <c r="AH57">
        <v>91.8</v>
      </c>
      <c r="AI57">
        <v>17.57</v>
      </c>
      <c r="AJ57">
        <v>1866.11</v>
      </c>
      <c r="AK57">
        <v>0</v>
      </c>
      <c r="AL57">
        <v>298.58</v>
      </c>
      <c r="AM57">
        <v>37.32</v>
      </c>
      <c r="AN57">
        <v>17.04</v>
      </c>
      <c r="AO57">
        <v>24.07</v>
      </c>
      <c r="AP57">
        <v>1</v>
      </c>
      <c r="AQ57" t="s">
        <v>82</v>
      </c>
      <c r="AR57">
        <v>1866.107</v>
      </c>
      <c r="AS57">
        <v>1</v>
      </c>
      <c r="AT57" t="s">
        <v>107</v>
      </c>
      <c r="AU57" t="s">
        <v>84</v>
      </c>
      <c r="AV57">
        <v>3</v>
      </c>
      <c r="AW57" t="s">
        <v>85</v>
      </c>
      <c r="AY57" t="s">
        <v>87</v>
      </c>
      <c r="AZ57" t="s">
        <v>88</v>
      </c>
      <c r="BA57" t="s">
        <v>89</v>
      </c>
      <c r="BB57" t="s">
        <v>90</v>
      </c>
      <c r="BC57">
        <v>17498</v>
      </c>
      <c r="BD57">
        <v>20240710</v>
      </c>
      <c r="BE57">
        <v>1756.74</v>
      </c>
      <c r="BG57">
        <v>6852624634</v>
      </c>
      <c r="BH57">
        <v>20240705</v>
      </c>
      <c r="BJ57" t="s">
        <v>89</v>
      </c>
      <c r="BK57" t="s">
        <v>171</v>
      </c>
    </row>
    <row r="58" spans="1:63" ht="12.75" x14ac:dyDescent="0.2">
      <c r="A58">
        <v>11</v>
      </c>
      <c r="B58">
        <v>7</v>
      </c>
      <c r="C58">
        <v>2024</v>
      </c>
      <c r="D58">
        <v>105051</v>
      </c>
      <c r="E58">
        <v>1</v>
      </c>
      <c r="F58" t="s">
        <v>65</v>
      </c>
      <c r="G58" t="s">
        <v>66</v>
      </c>
      <c r="H58">
        <v>20550731399</v>
      </c>
      <c r="I58" t="s">
        <v>67</v>
      </c>
      <c r="J58" t="s">
        <v>68</v>
      </c>
      <c r="K58" t="s">
        <v>69</v>
      </c>
      <c r="L58" t="s">
        <v>69</v>
      </c>
      <c r="M58" t="s">
        <v>70</v>
      </c>
      <c r="N58" t="s">
        <v>71</v>
      </c>
      <c r="O58" t="s">
        <v>71</v>
      </c>
      <c r="P58" t="s">
        <v>72</v>
      </c>
      <c r="Q58" t="s">
        <v>73</v>
      </c>
      <c r="R58" t="s">
        <v>117</v>
      </c>
      <c r="S58" t="s">
        <v>117</v>
      </c>
      <c r="T58" t="s">
        <v>372</v>
      </c>
      <c r="U58">
        <v>8421399000</v>
      </c>
      <c r="V58" t="s">
        <v>373</v>
      </c>
      <c r="W58" t="s">
        <v>374</v>
      </c>
      <c r="Y58">
        <v>110102007756</v>
      </c>
      <c r="Z58" t="s">
        <v>375</v>
      </c>
      <c r="AD58">
        <v>3909</v>
      </c>
      <c r="AG58">
        <v>1876.82</v>
      </c>
      <c r="AH58">
        <v>768.12</v>
      </c>
      <c r="AI58">
        <v>18.77</v>
      </c>
      <c r="AJ58">
        <v>2663.71</v>
      </c>
      <c r="AK58">
        <v>0</v>
      </c>
      <c r="AL58">
        <v>397.94</v>
      </c>
      <c r="AM58">
        <v>49.74</v>
      </c>
      <c r="AN58">
        <v>293.74</v>
      </c>
      <c r="AO58">
        <v>309.2</v>
      </c>
      <c r="AP58">
        <v>180</v>
      </c>
      <c r="AQ58" t="s">
        <v>82</v>
      </c>
      <c r="AR58">
        <v>14.798</v>
      </c>
      <c r="AS58">
        <v>180</v>
      </c>
      <c r="AT58" t="s">
        <v>290</v>
      </c>
      <c r="AU58" t="s">
        <v>84</v>
      </c>
      <c r="AV58">
        <v>1</v>
      </c>
      <c r="AW58" t="s">
        <v>85</v>
      </c>
      <c r="AX58" t="s">
        <v>376</v>
      </c>
      <c r="AY58" t="s">
        <v>108</v>
      </c>
      <c r="BA58" t="s">
        <v>170</v>
      </c>
      <c r="BB58" t="s">
        <v>90</v>
      </c>
      <c r="BC58">
        <v>18701</v>
      </c>
      <c r="BD58">
        <v>20240713</v>
      </c>
      <c r="BE58">
        <v>10.427</v>
      </c>
      <c r="BF58" t="s">
        <v>377</v>
      </c>
      <c r="BG58" t="s">
        <v>378</v>
      </c>
      <c r="BH58">
        <v>20240627</v>
      </c>
      <c r="BJ58" t="s">
        <v>379</v>
      </c>
    </row>
    <row r="59" spans="1:63" ht="12.75" x14ac:dyDescent="0.2">
      <c r="A59">
        <v>15</v>
      </c>
      <c r="B59">
        <v>7</v>
      </c>
      <c r="C59">
        <v>2024</v>
      </c>
      <c r="D59">
        <v>107686</v>
      </c>
      <c r="E59">
        <v>1</v>
      </c>
      <c r="F59" t="s">
        <v>65</v>
      </c>
      <c r="G59" t="s">
        <v>66</v>
      </c>
      <c r="H59">
        <v>20550731399</v>
      </c>
      <c r="I59" t="s">
        <v>67</v>
      </c>
      <c r="J59" t="s">
        <v>68</v>
      </c>
      <c r="K59" t="s">
        <v>69</v>
      </c>
      <c r="L59" t="s">
        <v>69</v>
      </c>
      <c r="M59" t="s">
        <v>70</v>
      </c>
      <c r="N59" t="s">
        <v>71</v>
      </c>
      <c r="O59" t="s">
        <v>71</v>
      </c>
      <c r="P59" t="s">
        <v>72</v>
      </c>
      <c r="Q59" t="s">
        <v>73</v>
      </c>
      <c r="R59" t="s">
        <v>74</v>
      </c>
      <c r="S59" t="s">
        <v>74</v>
      </c>
      <c r="T59" t="s">
        <v>380</v>
      </c>
      <c r="U59">
        <v>8483609000</v>
      </c>
      <c r="V59" t="s">
        <v>381</v>
      </c>
      <c r="W59" t="s">
        <v>382</v>
      </c>
      <c r="X59" t="s">
        <v>383</v>
      </c>
      <c r="Y59" t="s">
        <v>147</v>
      </c>
      <c r="Z59" t="s">
        <v>250</v>
      </c>
      <c r="AA59" t="s">
        <v>384</v>
      </c>
      <c r="AB59" t="s">
        <v>383</v>
      </c>
      <c r="AC59" t="s">
        <v>385</v>
      </c>
      <c r="AD59" t="s">
        <v>384</v>
      </c>
      <c r="AE59" t="s">
        <v>384</v>
      </c>
      <c r="AG59">
        <v>2900</v>
      </c>
      <c r="AH59">
        <v>188.58</v>
      </c>
      <c r="AI59">
        <v>29</v>
      </c>
      <c r="AJ59">
        <v>3117.58</v>
      </c>
      <c r="AK59">
        <v>0</v>
      </c>
      <c r="AL59">
        <v>498.81</v>
      </c>
      <c r="AM59">
        <v>62.35</v>
      </c>
      <c r="AN59">
        <v>48</v>
      </c>
      <c r="AO59">
        <v>54.88</v>
      </c>
      <c r="AP59">
        <v>1</v>
      </c>
      <c r="AQ59" t="s">
        <v>82</v>
      </c>
      <c r="AR59">
        <v>3117.58</v>
      </c>
      <c r="AS59">
        <v>1</v>
      </c>
      <c r="AT59" t="s">
        <v>107</v>
      </c>
      <c r="AU59" t="s">
        <v>84</v>
      </c>
      <c r="AV59">
        <v>1</v>
      </c>
      <c r="AW59" t="s">
        <v>85</v>
      </c>
      <c r="AY59" t="s">
        <v>87</v>
      </c>
      <c r="AZ59" t="s">
        <v>88</v>
      </c>
      <c r="BA59" t="s">
        <v>89</v>
      </c>
      <c r="BB59" t="s">
        <v>90</v>
      </c>
      <c r="BC59">
        <v>17503</v>
      </c>
      <c r="BD59">
        <v>20240717</v>
      </c>
      <c r="BE59">
        <v>2900</v>
      </c>
      <c r="BG59">
        <v>7077260890</v>
      </c>
      <c r="BH59">
        <v>20240710</v>
      </c>
      <c r="BJ59" t="s">
        <v>89</v>
      </c>
    </row>
    <row r="60" spans="1:63" ht="12.75" x14ac:dyDescent="0.2">
      <c r="A60">
        <v>16</v>
      </c>
      <c r="B60">
        <v>7</v>
      </c>
      <c r="C60">
        <v>2024</v>
      </c>
      <c r="D60">
        <v>264902</v>
      </c>
      <c r="E60">
        <v>1</v>
      </c>
      <c r="F60" t="s">
        <v>279</v>
      </c>
      <c r="G60" t="s">
        <v>66</v>
      </c>
      <c r="H60">
        <v>20550731399</v>
      </c>
      <c r="I60" t="s">
        <v>67</v>
      </c>
      <c r="J60" t="s">
        <v>68</v>
      </c>
      <c r="K60" t="s">
        <v>69</v>
      </c>
      <c r="L60" t="s">
        <v>69</v>
      </c>
      <c r="M60" t="s">
        <v>70</v>
      </c>
      <c r="N60" t="s">
        <v>71</v>
      </c>
      <c r="O60" t="s">
        <v>71</v>
      </c>
      <c r="P60" t="s">
        <v>280</v>
      </c>
      <c r="Q60" t="s">
        <v>73</v>
      </c>
      <c r="R60" t="s">
        <v>98</v>
      </c>
      <c r="S60" t="s">
        <v>98</v>
      </c>
      <c r="T60" t="s">
        <v>386</v>
      </c>
      <c r="U60">
        <v>8412290000</v>
      </c>
      <c r="V60" t="s">
        <v>164</v>
      </c>
      <c r="W60" t="s">
        <v>387</v>
      </c>
      <c r="X60" t="s">
        <v>388</v>
      </c>
      <c r="Z60" t="s">
        <v>221</v>
      </c>
      <c r="AB60" t="s">
        <v>221</v>
      </c>
      <c r="AC60" t="s">
        <v>123</v>
      </c>
      <c r="AD60" t="s">
        <v>389</v>
      </c>
      <c r="AE60" t="s">
        <v>221</v>
      </c>
      <c r="AG60">
        <v>10652.01</v>
      </c>
      <c r="AH60">
        <v>36.200000000000003</v>
      </c>
      <c r="AI60">
        <v>106.52</v>
      </c>
      <c r="AJ60">
        <v>10794.73</v>
      </c>
      <c r="AK60">
        <v>0</v>
      </c>
      <c r="AL60">
        <v>1727.16</v>
      </c>
      <c r="AM60">
        <v>215.89</v>
      </c>
      <c r="AN60">
        <v>282.42</v>
      </c>
      <c r="AO60">
        <v>296.02999999999997</v>
      </c>
      <c r="AP60">
        <v>4</v>
      </c>
      <c r="AQ60" t="s">
        <v>82</v>
      </c>
      <c r="AR60">
        <v>2698.6819999999998</v>
      </c>
      <c r="AS60">
        <v>4</v>
      </c>
      <c r="AT60" t="s">
        <v>107</v>
      </c>
      <c r="AU60" t="s">
        <v>84</v>
      </c>
      <c r="AV60">
        <v>1</v>
      </c>
      <c r="AW60" t="s">
        <v>85</v>
      </c>
      <c r="AX60" t="s">
        <v>390</v>
      </c>
      <c r="AY60" t="s">
        <v>108</v>
      </c>
      <c r="AZ60" t="s">
        <v>291</v>
      </c>
      <c r="BA60" t="s">
        <v>391</v>
      </c>
      <c r="BB60" t="s">
        <v>90</v>
      </c>
      <c r="BC60">
        <v>1797</v>
      </c>
      <c r="BD60">
        <v>20240718</v>
      </c>
      <c r="BE60">
        <v>2663.002</v>
      </c>
      <c r="BF60" t="s">
        <v>392</v>
      </c>
      <c r="BG60" t="s">
        <v>393</v>
      </c>
      <c r="BH60">
        <v>20240614</v>
      </c>
      <c r="BI60" t="s">
        <v>394</v>
      </c>
      <c r="BJ60" t="s">
        <v>112</v>
      </c>
    </row>
    <row r="61" spans="1:63" ht="12.75" x14ac:dyDescent="0.2">
      <c r="A61">
        <v>16</v>
      </c>
      <c r="B61">
        <v>7</v>
      </c>
      <c r="C61">
        <v>2024</v>
      </c>
      <c r="D61">
        <v>264902</v>
      </c>
      <c r="E61">
        <v>5</v>
      </c>
      <c r="F61" t="s">
        <v>279</v>
      </c>
      <c r="G61" t="s">
        <v>66</v>
      </c>
      <c r="H61">
        <v>20550731399</v>
      </c>
      <c r="I61" t="s">
        <v>67</v>
      </c>
      <c r="J61" t="s">
        <v>68</v>
      </c>
      <c r="K61" t="s">
        <v>69</v>
      </c>
      <c r="L61" t="s">
        <v>69</v>
      </c>
      <c r="M61" t="s">
        <v>70</v>
      </c>
      <c r="N61" t="s">
        <v>71</v>
      </c>
      <c r="O61" t="s">
        <v>71</v>
      </c>
      <c r="P61" t="s">
        <v>280</v>
      </c>
      <c r="Q61" t="s">
        <v>73</v>
      </c>
      <c r="R61" t="s">
        <v>74</v>
      </c>
      <c r="S61" t="s">
        <v>98</v>
      </c>
      <c r="T61" t="s">
        <v>386</v>
      </c>
      <c r="U61">
        <v>8413919000</v>
      </c>
      <c r="V61" t="s">
        <v>229</v>
      </c>
      <c r="W61" t="s">
        <v>395</v>
      </c>
      <c r="X61">
        <v>923167</v>
      </c>
      <c r="Z61" t="s">
        <v>396</v>
      </c>
      <c r="AB61" t="s">
        <v>396</v>
      </c>
      <c r="AC61" t="s">
        <v>123</v>
      </c>
      <c r="AD61" t="s">
        <v>397</v>
      </c>
      <c r="AE61" t="s">
        <v>396</v>
      </c>
      <c r="AG61">
        <v>1315.74</v>
      </c>
      <c r="AH61">
        <v>4.47</v>
      </c>
      <c r="AI61">
        <v>13.16</v>
      </c>
      <c r="AJ61">
        <v>1333.37</v>
      </c>
      <c r="AK61">
        <v>0</v>
      </c>
      <c r="AL61">
        <v>213.34</v>
      </c>
      <c r="AM61">
        <v>26.67</v>
      </c>
      <c r="AN61">
        <v>34.880000000000003</v>
      </c>
      <c r="AO61">
        <v>36.57</v>
      </c>
      <c r="AP61">
        <v>2</v>
      </c>
      <c r="AQ61" t="s">
        <v>82</v>
      </c>
      <c r="AR61">
        <v>666.68299999999999</v>
      </c>
      <c r="AS61">
        <v>2</v>
      </c>
      <c r="AT61" t="s">
        <v>107</v>
      </c>
      <c r="AU61" t="s">
        <v>84</v>
      </c>
      <c r="AV61">
        <v>0</v>
      </c>
      <c r="AW61" t="s">
        <v>85</v>
      </c>
      <c r="AX61" t="s">
        <v>390</v>
      </c>
      <c r="AY61" t="s">
        <v>108</v>
      </c>
      <c r="AZ61" t="s">
        <v>291</v>
      </c>
      <c r="BA61" t="s">
        <v>391</v>
      </c>
      <c r="BB61" t="s">
        <v>90</v>
      </c>
      <c r="BC61">
        <v>1797</v>
      </c>
      <c r="BD61">
        <v>20240718</v>
      </c>
      <c r="BE61">
        <v>657.87</v>
      </c>
      <c r="BF61" t="s">
        <v>392</v>
      </c>
      <c r="BG61" t="s">
        <v>393</v>
      </c>
      <c r="BH61">
        <v>20240614</v>
      </c>
      <c r="BI61" t="s">
        <v>394</v>
      </c>
      <c r="BJ61" t="s">
        <v>112</v>
      </c>
    </row>
    <row r="62" spans="1:63" ht="12.75" x14ac:dyDescent="0.2">
      <c r="A62">
        <v>16</v>
      </c>
      <c r="B62">
        <v>7</v>
      </c>
      <c r="C62">
        <v>2024</v>
      </c>
      <c r="D62">
        <v>264902</v>
      </c>
      <c r="E62">
        <v>4</v>
      </c>
      <c r="F62" t="s">
        <v>279</v>
      </c>
      <c r="G62" t="s">
        <v>66</v>
      </c>
      <c r="H62">
        <v>20550731399</v>
      </c>
      <c r="I62" t="s">
        <v>67</v>
      </c>
      <c r="J62" t="s">
        <v>68</v>
      </c>
      <c r="K62" t="s">
        <v>69</v>
      </c>
      <c r="L62" t="s">
        <v>69</v>
      </c>
      <c r="M62" t="s">
        <v>70</v>
      </c>
      <c r="N62" t="s">
        <v>71</v>
      </c>
      <c r="O62" t="s">
        <v>71</v>
      </c>
      <c r="P62" t="s">
        <v>280</v>
      </c>
      <c r="Q62" t="s">
        <v>73</v>
      </c>
      <c r="R62" t="s">
        <v>74</v>
      </c>
      <c r="S62" t="s">
        <v>98</v>
      </c>
      <c r="T62" t="s">
        <v>386</v>
      </c>
      <c r="U62">
        <v>8413919000</v>
      </c>
      <c r="V62" t="s">
        <v>229</v>
      </c>
      <c r="W62" t="s">
        <v>398</v>
      </c>
      <c r="X62">
        <v>923110</v>
      </c>
      <c r="Z62" t="s">
        <v>396</v>
      </c>
      <c r="AB62" t="s">
        <v>396</v>
      </c>
      <c r="AC62" t="s">
        <v>123</v>
      </c>
      <c r="AD62" t="s">
        <v>399</v>
      </c>
      <c r="AE62" t="s">
        <v>396</v>
      </c>
      <c r="AG62">
        <v>830.21</v>
      </c>
      <c r="AH62">
        <v>2.82</v>
      </c>
      <c r="AI62">
        <v>8.3000000000000007</v>
      </c>
      <c r="AJ62">
        <v>841.33</v>
      </c>
      <c r="AK62">
        <v>0</v>
      </c>
      <c r="AL62">
        <v>134.61000000000001</v>
      </c>
      <c r="AM62">
        <v>16.829999999999998</v>
      </c>
      <c r="AN62">
        <v>22.01</v>
      </c>
      <c r="AO62">
        <v>23.07</v>
      </c>
      <c r="AP62">
        <v>1</v>
      </c>
      <c r="AQ62" t="s">
        <v>82</v>
      </c>
      <c r="AR62">
        <v>841.33299999999997</v>
      </c>
      <c r="AS62">
        <v>1</v>
      </c>
      <c r="AT62" t="s">
        <v>107</v>
      </c>
      <c r="AU62" t="s">
        <v>84</v>
      </c>
      <c r="AV62">
        <v>0</v>
      </c>
      <c r="AW62" t="s">
        <v>85</v>
      </c>
      <c r="AX62" t="s">
        <v>390</v>
      </c>
      <c r="AY62" t="s">
        <v>108</v>
      </c>
      <c r="AZ62" t="s">
        <v>291</v>
      </c>
      <c r="BA62" t="s">
        <v>391</v>
      </c>
      <c r="BB62" t="s">
        <v>90</v>
      </c>
      <c r="BC62">
        <v>1797</v>
      </c>
      <c r="BD62">
        <v>20240718</v>
      </c>
      <c r="BE62">
        <v>830.21</v>
      </c>
      <c r="BF62" t="s">
        <v>392</v>
      </c>
      <c r="BG62" t="s">
        <v>393</v>
      </c>
      <c r="BH62">
        <v>20240614</v>
      </c>
      <c r="BI62" t="s">
        <v>394</v>
      </c>
      <c r="BJ62" t="s">
        <v>112</v>
      </c>
    </row>
    <row r="63" spans="1:63" ht="12.75" x14ac:dyDescent="0.2">
      <c r="A63">
        <v>16</v>
      </c>
      <c r="B63">
        <v>7</v>
      </c>
      <c r="C63">
        <v>2024</v>
      </c>
      <c r="D63">
        <v>264902</v>
      </c>
      <c r="E63">
        <v>2</v>
      </c>
      <c r="F63" t="s">
        <v>279</v>
      </c>
      <c r="G63" t="s">
        <v>66</v>
      </c>
      <c r="H63">
        <v>20550731399</v>
      </c>
      <c r="I63" t="s">
        <v>67</v>
      </c>
      <c r="J63" t="s">
        <v>68</v>
      </c>
      <c r="K63" t="s">
        <v>69</v>
      </c>
      <c r="L63" t="s">
        <v>69</v>
      </c>
      <c r="M63" t="s">
        <v>70</v>
      </c>
      <c r="N63" t="s">
        <v>71</v>
      </c>
      <c r="O63" t="s">
        <v>71</v>
      </c>
      <c r="P63" t="s">
        <v>280</v>
      </c>
      <c r="Q63" t="s">
        <v>73</v>
      </c>
      <c r="R63" t="s">
        <v>98</v>
      </c>
      <c r="S63" t="s">
        <v>98</v>
      </c>
      <c r="T63" t="s">
        <v>386</v>
      </c>
      <c r="U63">
        <v>8412290000</v>
      </c>
      <c r="V63" t="s">
        <v>164</v>
      </c>
      <c r="W63" t="s">
        <v>400</v>
      </c>
      <c r="X63" t="s">
        <v>192</v>
      </c>
      <c r="Y63" t="s">
        <v>401</v>
      </c>
      <c r="Z63" t="s">
        <v>402</v>
      </c>
      <c r="AB63" t="s">
        <v>79</v>
      </c>
      <c r="AC63" t="s">
        <v>123</v>
      </c>
      <c r="AD63" t="s">
        <v>389</v>
      </c>
      <c r="AE63" t="s">
        <v>402</v>
      </c>
      <c r="AG63">
        <v>1055.51</v>
      </c>
      <c r="AH63">
        <v>3.59</v>
      </c>
      <c r="AI63">
        <v>10.55</v>
      </c>
      <c r="AJ63">
        <v>1069.6500000000001</v>
      </c>
      <c r="AK63">
        <v>0</v>
      </c>
      <c r="AL63">
        <v>171.14</v>
      </c>
      <c r="AM63">
        <v>21.39</v>
      </c>
      <c r="AN63">
        <v>27.98</v>
      </c>
      <c r="AO63">
        <v>29.33</v>
      </c>
      <c r="AP63">
        <v>4</v>
      </c>
      <c r="AQ63" t="s">
        <v>82</v>
      </c>
      <c r="AR63">
        <v>267.41300000000001</v>
      </c>
      <c r="AS63">
        <v>4</v>
      </c>
      <c r="AT63" t="s">
        <v>107</v>
      </c>
      <c r="AU63" t="s">
        <v>84</v>
      </c>
      <c r="AV63">
        <v>0</v>
      </c>
      <c r="AW63" t="s">
        <v>85</v>
      </c>
      <c r="AX63" t="s">
        <v>390</v>
      </c>
      <c r="AY63" t="s">
        <v>108</v>
      </c>
      <c r="AZ63" t="s">
        <v>291</v>
      </c>
      <c r="BA63" t="s">
        <v>391</v>
      </c>
      <c r="BB63" t="s">
        <v>90</v>
      </c>
      <c r="BC63">
        <v>1797</v>
      </c>
      <c r="BD63">
        <v>20240718</v>
      </c>
      <c r="BE63">
        <v>263.87799999999999</v>
      </c>
      <c r="BF63" t="s">
        <v>392</v>
      </c>
      <c r="BG63" t="s">
        <v>393</v>
      </c>
      <c r="BH63">
        <v>20240614</v>
      </c>
      <c r="BI63" t="s">
        <v>394</v>
      </c>
      <c r="BJ63" t="s">
        <v>112</v>
      </c>
    </row>
    <row r="64" spans="1:63" ht="12.75" x14ac:dyDescent="0.2">
      <c r="A64">
        <v>16</v>
      </c>
      <c r="B64">
        <v>7</v>
      </c>
      <c r="C64">
        <v>2024</v>
      </c>
      <c r="D64">
        <v>264902</v>
      </c>
      <c r="E64">
        <v>3</v>
      </c>
      <c r="F64" t="s">
        <v>279</v>
      </c>
      <c r="G64" t="s">
        <v>66</v>
      </c>
      <c r="H64">
        <v>20550731399</v>
      </c>
      <c r="I64" t="s">
        <v>67</v>
      </c>
      <c r="J64" t="s">
        <v>68</v>
      </c>
      <c r="K64" t="s">
        <v>69</v>
      </c>
      <c r="L64" t="s">
        <v>69</v>
      </c>
      <c r="M64" t="s">
        <v>70</v>
      </c>
      <c r="N64" t="s">
        <v>71</v>
      </c>
      <c r="O64" t="s">
        <v>71</v>
      </c>
      <c r="P64" t="s">
        <v>280</v>
      </c>
      <c r="Q64" t="s">
        <v>73</v>
      </c>
      <c r="R64" t="s">
        <v>98</v>
      </c>
      <c r="S64" t="s">
        <v>98</v>
      </c>
      <c r="T64" t="s">
        <v>386</v>
      </c>
      <c r="U64">
        <v>8412290000</v>
      </c>
      <c r="V64" t="s">
        <v>164</v>
      </c>
      <c r="W64" t="s">
        <v>403</v>
      </c>
      <c r="X64" t="s">
        <v>192</v>
      </c>
      <c r="Y64" t="s">
        <v>404</v>
      </c>
      <c r="Z64" t="s">
        <v>402</v>
      </c>
      <c r="AB64" t="s">
        <v>79</v>
      </c>
      <c r="AC64" t="s">
        <v>123</v>
      </c>
      <c r="AD64" t="s">
        <v>405</v>
      </c>
      <c r="AE64" t="s">
        <v>402</v>
      </c>
      <c r="AG64">
        <v>3166.51</v>
      </c>
      <c r="AH64">
        <v>10.76</v>
      </c>
      <c r="AI64">
        <v>31.66</v>
      </c>
      <c r="AJ64">
        <v>3208.93</v>
      </c>
      <c r="AK64">
        <v>0</v>
      </c>
      <c r="AL64">
        <v>513.42999999999995</v>
      </c>
      <c r="AM64">
        <v>64.180000000000007</v>
      </c>
      <c r="AN64">
        <v>83.95</v>
      </c>
      <c r="AO64">
        <v>88</v>
      </c>
      <c r="AP64">
        <v>12</v>
      </c>
      <c r="AQ64" t="s">
        <v>82</v>
      </c>
      <c r="AR64">
        <v>267.411</v>
      </c>
      <c r="AS64">
        <v>12</v>
      </c>
      <c r="AT64" t="s">
        <v>107</v>
      </c>
      <c r="AU64" t="s">
        <v>84</v>
      </c>
      <c r="AV64">
        <v>0</v>
      </c>
      <c r="AW64" t="s">
        <v>85</v>
      </c>
      <c r="AX64" t="s">
        <v>390</v>
      </c>
      <c r="AY64" t="s">
        <v>108</v>
      </c>
      <c r="AZ64" t="s">
        <v>291</v>
      </c>
      <c r="BA64" t="s">
        <v>391</v>
      </c>
      <c r="BB64" t="s">
        <v>90</v>
      </c>
      <c r="BC64">
        <v>1797</v>
      </c>
      <c r="BD64">
        <v>20240718</v>
      </c>
      <c r="BE64">
        <v>263.87599999999998</v>
      </c>
      <c r="BF64" t="s">
        <v>392</v>
      </c>
      <c r="BG64" t="s">
        <v>393</v>
      </c>
      <c r="BH64">
        <v>20240614</v>
      </c>
      <c r="BI64" t="s">
        <v>394</v>
      </c>
      <c r="BJ64" t="s">
        <v>112</v>
      </c>
    </row>
    <row r="65" spans="1:63" ht="12.75" x14ac:dyDescent="0.2">
      <c r="A65">
        <v>26</v>
      </c>
      <c r="B65">
        <v>7</v>
      </c>
      <c r="C65">
        <v>2024</v>
      </c>
      <c r="D65">
        <v>113882</v>
      </c>
      <c r="E65">
        <v>1</v>
      </c>
      <c r="F65" t="s">
        <v>65</v>
      </c>
      <c r="G65" t="s">
        <v>66</v>
      </c>
      <c r="H65">
        <v>20550731399</v>
      </c>
      <c r="I65" t="s">
        <v>67</v>
      </c>
      <c r="J65" t="s">
        <v>68</v>
      </c>
      <c r="K65" t="s">
        <v>69</v>
      </c>
      <c r="L65" t="s">
        <v>69</v>
      </c>
      <c r="M65" t="s">
        <v>70</v>
      </c>
      <c r="N65" t="s">
        <v>71</v>
      </c>
      <c r="O65" t="s">
        <v>71</v>
      </c>
      <c r="P65" t="s">
        <v>72</v>
      </c>
      <c r="R65" t="s">
        <v>74</v>
      </c>
      <c r="S65" t="s">
        <v>74</v>
      </c>
      <c r="T65" t="s">
        <v>406</v>
      </c>
      <c r="U65">
        <v>8483500000</v>
      </c>
      <c r="V65" t="s">
        <v>328</v>
      </c>
      <c r="W65" t="s">
        <v>407</v>
      </c>
      <c r="X65" t="s">
        <v>408</v>
      </c>
      <c r="Y65" t="s">
        <v>409</v>
      </c>
      <c r="Z65" t="s">
        <v>410</v>
      </c>
      <c r="AA65" t="s">
        <v>411</v>
      </c>
      <c r="AD65" t="str">
        <f>Tabla1[[#This Row],[DESCRIPCIÓN DE MERCANCÍA 1]]</f>
        <v>1G122100AB</v>
      </c>
      <c r="AG65">
        <v>25501</v>
      </c>
      <c r="AH65">
        <v>285.60000000000002</v>
      </c>
      <c r="AI65">
        <v>255.01</v>
      </c>
      <c r="AJ65">
        <v>26041.61</v>
      </c>
      <c r="AK65">
        <v>0</v>
      </c>
      <c r="AL65">
        <v>4157.7700000000004</v>
      </c>
      <c r="AM65">
        <v>519.72</v>
      </c>
      <c r="AN65">
        <v>53.2</v>
      </c>
      <c r="AO65">
        <v>56.2</v>
      </c>
      <c r="AP65">
        <v>1</v>
      </c>
      <c r="AQ65" t="s">
        <v>82</v>
      </c>
      <c r="AR65">
        <v>26041.61</v>
      </c>
      <c r="AS65">
        <v>1</v>
      </c>
      <c r="AT65" t="s">
        <v>107</v>
      </c>
      <c r="AU65" t="s">
        <v>84</v>
      </c>
      <c r="AV65">
        <v>1</v>
      </c>
      <c r="AW65" t="s">
        <v>85</v>
      </c>
      <c r="AX65" t="s">
        <v>215</v>
      </c>
      <c r="AY65" t="s">
        <v>108</v>
      </c>
      <c r="AZ65" t="s">
        <v>223</v>
      </c>
      <c r="BA65" t="s">
        <v>170</v>
      </c>
      <c r="BB65" t="s">
        <v>90</v>
      </c>
      <c r="BC65">
        <v>17594</v>
      </c>
      <c r="BD65">
        <v>20240728</v>
      </c>
      <c r="BE65">
        <v>25501</v>
      </c>
      <c r="BF65" t="s">
        <v>412</v>
      </c>
      <c r="BG65" t="s">
        <v>413</v>
      </c>
      <c r="BH65">
        <v>20240722</v>
      </c>
      <c r="BJ65" t="s">
        <v>112</v>
      </c>
      <c r="BK65" t="s">
        <v>171</v>
      </c>
    </row>
    <row r="66" spans="1:63" ht="12.75" x14ac:dyDescent="0.2">
      <c r="A66">
        <v>6</v>
      </c>
      <c r="B66">
        <v>8</v>
      </c>
      <c r="C66">
        <v>2024</v>
      </c>
      <c r="D66">
        <v>119764</v>
      </c>
      <c r="E66">
        <v>2</v>
      </c>
      <c r="F66" t="s">
        <v>65</v>
      </c>
      <c r="G66" t="s">
        <v>66</v>
      </c>
      <c r="H66">
        <v>20550731399</v>
      </c>
      <c r="I66" t="s">
        <v>67</v>
      </c>
      <c r="J66" t="s">
        <v>68</v>
      </c>
      <c r="K66" t="s">
        <v>69</v>
      </c>
      <c r="L66" t="s">
        <v>69</v>
      </c>
      <c r="M66" t="s">
        <v>70</v>
      </c>
      <c r="N66" t="s">
        <v>71</v>
      </c>
      <c r="O66" t="s">
        <v>71</v>
      </c>
      <c r="P66" t="s">
        <v>72</v>
      </c>
      <c r="Q66" t="s">
        <v>73</v>
      </c>
      <c r="R66" t="s">
        <v>74</v>
      </c>
      <c r="S66" t="s">
        <v>74</v>
      </c>
      <c r="T66" t="s">
        <v>163</v>
      </c>
      <c r="U66">
        <v>4016930000</v>
      </c>
      <c r="V66" t="s">
        <v>76</v>
      </c>
      <c r="W66" t="s">
        <v>414</v>
      </c>
      <c r="X66" t="s">
        <v>415</v>
      </c>
      <c r="Y66" t="s">
        <v>147</v>
      </c>
      <c r="Z66" t="s">
        <v>137</v>
      </c>
      <c r="AA66" t="s">
        <v>416</v>
      </c>
      <c r="AB66" t="s">
        <v>415</v>
      </c>
      <c r="AC66" t="s">
        <v>81</v>
      </c>
      <c r="AD66">
        <v>923157</v>
      </c>
      <c r="AE66" t="s">
        <v>416</v>
      </c>
      <c r="AG66">
        <v>303.11</v>
      </c>
      <c r="AH66">
        <v>10.32</v>
      </c>
      <c r="AI66">
        <v>5.3</v>
      </c>
      <c r="AJ66">
        <v>318.73</v>
      </c>
      <c r="AK66">
        <v>19.12</v>
      </c>
      <c r="AL66">
        <v>54.06</v>
      </c>
      <c r="AM66">
        <v>6.76</v>
      </c>
      <c r="AN66">
        <v>1.64</v>
      </c>
      <c r="AO66">
        <v>2.0699999999999998</v>
      </c>
      <c r="AP66">
        <v>12</v>
      </c>
      <c r="AQ66" t="s">
        <v>82</v>
      </c>
      <c r="AR66">
        <v>26.561</v>
      </c>
      <c r="AS66">
        <v>12</v>
      </c>
      <c r="AT66" t="s">
        <v>107</v>
      </c>
      <c r="AU66" t="s">
        <v>84</v>
      </c>
      <c r="AV66">
        <v>0</v>
      </c>
      <c r="AW66" t="s">
        <v>85</v>
      </c>
      <c r="AY66" t="s">
        <v>87</v>
      </c>
      <c r="AZ66" t="s">
        <v>88</v>
      </c>
      <c r="BA66" t="s">
        <v>89</v>
      </c>
      <c r="BB66" t="s">
        <v>90</v>
      </c>
      <c r="BC66">
        <v>20990</v>
      </c>
      <c r="BD66">
        <v>20240807</v>
      </c>
      <c r="BE66">
        <v>25.259</v>
      </c>
      <c r="BG66">
        <v>5099984794</v>
      </c>
      <c r="BH66">
        <v>20240801</v>
      </c>
      <c r="BJ66" t="s">
        <v>89</v>
      </c>
      <c r="BK66" t="s">
        <v>171</v>
      </c>
    </row>
    <row r="67" spans="1:63" ht="12.75" x14ac:dyDescent="0.2">
      <c r="A67">
        <v>6</v>
      </c>
      <c r="B67">
        <v>8</v>
      </c>
      <c r="C67">
        <v>2024</v>
      </c>
      <c r="D67">
        <v>119764</v>
      </c>
      <c r="E67">
        <v>4</v>
      </c>
      <c r="F67" t="s">
        <v>65</v>
      </c>
      <c r="G67" t="s">
        <v>66</v>
      </c>
      <c r="H67">
        <v>20550731399</v>
      </c>
      <c r="I67" t="s">
        <v>67</v>
      </c>
      <c r="J67" t="s">
        <v>68</v>
      </c>
      <c r="K67" t="s">
        <v>69</v>
      </c>
      <c r="L67" t="s">
        <v>69</v>
      </c>
      <c r="M67" t="s">
        <v>70</v>
      </c>
      <c r="N67" t="s">
        <v>71</v>
      </c>
      <c r="O67" t="s">
        <v>71</v>
      </c>
      <c r="P67" t="s">
        <v>72</v>
      </c>
      <c r="Q67" t="s">
        <v>73</v>
      </c>
      <c r="R67" t="s">
        <v>228</v>
      </c>
      <c r="S67" t="s">
        <v>74</v>
      </c>
      <c r="T67" t="s">
        <v>163</v>
      </c>
      <c r="U67">
        <v>8413919000</v>
      </c>
      <c r="V67" t="s">
        <v>229</v>
      </c>
      <c r="W67" t="s">
        <v>417</v>
      </c>
      <c r="X67" t="s">
        <v>194</v>
      </c>
      <c r="Y67" t="s">
        <v>147</v>
      </c>
      <c r="Z67" t="s">
        <v>418</v>
      </c>
      <c r="AA67" t="s">
        <v>199</v>
      </c>
      <c r="AB67" t="s">
        <v>194</v>
      </c>
      <c r="AC67" t="s">
        <v>81</v>
      </c>
      <c r="AD67" t="s">
        <v>195</v>
      </c>
      <c r="AE67" t="s">
        <v>199</v>
      </c>
      <c r="AG67">
        <v>1858.2</v>
      </c>
      <c r="AH67">
        <v>63.24</v>
      </c>
      <c r="AI67">
        <v>18.579999999999998</v>
      </c>
      <c r="AJ67">
        <v>1940.02</v>
      </c>
      <c r="AK67">
        <v>0</v>
      </c>
      <c r="AL67">
        <v>310.39999999999998</v>
      </c>
      <c r="AM67">
        <v>38.799999999999997</v>
      </c>
      <c r="AN67">
        <v>10.06</v>
      </c>
      <c r="AO67">
        <v>12.69</v>
      </c>
      <c r="AP67">
        <v>10</v>
      </c>
      <c r="AQ67" t="s">
        <v>82</v>
      </c>
      <c r="AR67">
        <v>194.00200000000001</v>
      </c>
      <c r="AS67">
        <v>10</v>
      </c>
      <c r="AT67" t="s">
        <v>107</v>
      </c>
      <c r="AU67" t="s">
        <v>84</v>
      </c>
      <c r="AV67">
        <v>0</v>
      </c>
      <c r="AW67" t="s">
        <v>85</v>
      </c>
      <c r="AY67" t="s">
        <v>87</v>
      </c>
      <c r="AZ67" t="s">
        <v>88</v>
      </c>
      <c r="BA67" t="s">
        <v>89</v>
      </c>
      <c r="BB67" t="s">
        <v>90</v>
      </c>
      <c r="BC67">
        <v>20990</v>
      </c>
      <c r="BD67">
        <v>20240807</v>
      </c>
      <c r="BE67">
        <v>185.82</v>
      </c>
      <c r="BG67">
        <v>5099984794</v>
      </c>
      <c r="BH67">
        <v>20240801</v>
      </c>
      <c r="BJ67" t="s">
        <v>89</v>
      </c>
      <c r="BK67" t="s">
        <v>171</v>
      </c>
    </row>
    <row r="68" spans="1:63" ht="12.75" x14ac:dyDescent="0.2">
      <c r="A68">
        <v>6</v>
      </c>
      <c r="B68">
        <v>8</v>
      </c>
      <c r="C68">
        <v>2024</v>
      </c>
      <c r="D68">
        <v>119764</v>
      </c>
      <c r="E68">
        <v>3</v>
      </c>
      <c r="F68" t="s">
        <v>65</v>
      </c>
      <c r="G68" t="s">
        <v>66</v>
      </c>
      <c r="H68">
        <v>20550731399</v>
      </c>
      <c r="I68" t="s">
        <v>67</v>
      </c>
      <c r="J68" t="s">
        <v>68</v>
      </c>
      <c r="K68" t="s">
        <v>69</v>
      </c>
      <c r="L68" t="s">
        <v>69</v>
      </c>
      <c r="M68" t="s">
        <v>70</v>
      </c>
      <c r="N68" t="s">
        <v>71</v>
      </c>
      <c r="O68" t="s">
        <v>71</v>
      </c>
      <c r="P68" t="s">
        <v>72</v>
      </c>
      <c r="Q68" t="s">
        <v>73</v>
      </c>
      <c r="R68" t="s">
        <v>228</v>
      </c>
      <c r="S68" t="s">
        <v>74</v>
      </c>
      <c r="T68" t="s">
        <v>163</v>
      </c>
      <c r="U68">
        <v>8413919000</v>
      </c>
      <c r="V68" t="s">
        <v>229</v>
      </c>
      <c r="W68" t="s">
        <v>419</v>
      </c>
      <c r="X68" t="s">
        <v>194</v>
      </c>
      <c r="Y68" t="s">
        <v>147</v>
      </c>
      <c r="Z68" t="s">
        <v>418</v>
      </c>
      <c r="AA68" t="s">
        <v>420</v>
      </c>
      <c r="AB68" t="s">
        <v>194</v>
      </c>
      <c r="AC68" t="s">
        <v>81</v>
      </c>
      <c r="AD68">
        <v>312153</v>
      </c>
      <c r="AE68" t="s">
        <v>420</v>
      </c>
      <c r="AG68">
        <v>371.07</v>
      </c>
      <c r="AH68">
        <v>12.63</v>
      </c>
      <c r="AI68">
        <v>3.71</v>
      </c>
      <c r="AJ68">
        <v>387.41</v>
      </c>
      <c r="AK68">
        <v>0</v>
      </c>
      <c r="AL68">
        <v>61.99</v>
      </c>
      <c r="AM68">
        <v>7.75</v>
      </c>
      <c r="AN68">
        <v>2.0099999999999998</v>
      </c>
      <c r="AO68">
        <v>2.5299999999999998</v>
      </c>
      <c r="AP68">
        <v>2</v>
      </c>
      <c r="AQ68" t="s">
        <v>82</v>
      </c>
      <c r="AR68">
        <v>193.70500000000001</v>
      </c>
      <c r="AS68">
        <v>2</v>
      </c>
      <c r="AT68" t="s">
        <v>107</v>
      </c>
      <c r="AU68" t="s">
        <v>84</v>
      </c>
      <c r="AV68">
        <v>0</v>
      </c>
      <c r="AW68" t="s">
        <v>85</v>
      </c>
      <c r="AY68" t="s">
        <v>87</v>
      </c>
      <c r="AZ68" t="s">
        <v>88</v>
      </c>
      <c r="BA68" t="s">
        <v>89</v>
      </c>
      <c r="BB68" t="s">
        <v>90</v>
      </c>
      <c r="BC68">
        <v>20990</v>
      </c>
      <c r="BD68">
        <v>20240807</v>
      </c>
      <c r="BE68">
        <v>185.535</v>
      </c>
      <c r="BG68">
        <v>5099984794</v>
      </c>
      <c r="BH68">
        <v>20240801</v>
      </c>
      <c r="BJ68" t="s">
        <v>89</v>
      </c>
      <c r="BK68" t="s">
        <v>171</v>
      </c>
    </row>
    <row r="69" spans="1:63" ht="12.75" x14ac:dyDescent="0.2">
      <c r="A69">
        <v>6</v>
      </c>
      <c r="B69">
        <v>8</v>
      </c>
      <c r="C69">
        <v>2024</v>
      </c>
      <c r="D69">
        <v>119764</v>
      </c>
      <c r="E69">
        <v>1</v>
      </c>
      <c r="F69" t="s">
        <v>65</v>
      </c>
      <c r="G69" t="s">
        <v>66</v>
      </c>
      <c r="H69">
        <v>20550731399</v>
      </c>
      <c r="I69" t="s">
        <v>67</v>
      </c>
      <c r="J69" t="s">
        <v>68</v>
      </c>
      <c r="K69" t="s">
        <v>69</v>
      </c>
      <c r="L69" t="s">
        <v>69</v>
      </c>
      <c r="M69" t="s">
        <v>70</v>
      </c>
      <c r="N69" t="s">
        <v>71</v>
      </c>
      <c r="O69" t="s">
        <v>71</v>
      </c>
      <c r="P69" t="s">
        <v>72</v>
      </c>
      <c r="Q69" t="s">
        <v>73</v>
      </c>
      <c r="R69" t="s">
        <v>74</v>
      </c>
      <c r="S69" t="s">
        <v>74</v>
      </c>
      <c r="T69" t="s">
        <v>163</v>
      </c>
      <c r="U69">
        <v>4016930000</v>
      </c>
      <c r="V69" t="s">
        <v>76</v>
      </c>
      <c r="W69" t="s">
        <v>421</v>
      </c>
      <c r="X69" t="s">
        <v>422</v>
      </c>
      <c r="Y69" t="s">
        <v>147</v>
      </c>
      <c r="Z69" t="s">
        <v>137</v>
      </c>
      <c r="AA69" t="s">
        <v>423</v>
      </c>
      <c r="AB69" t="s">
        <v>422</v>
      </c>
      <c r="AC69" t="s">
        <v>81</v>
      </c>
      <c r="AD69" t="s">
        <v>424</v>
      </c>
      <c r="AE69" t="s">
        <v>423</v>
      </c>
      <c r="AG69">
        <v>3008.7</v>
      </c>
      <c r="AH69">
        <v>102.39</v>
      </c>
      <c r="AI69">
        <v>52.65</v>
      </c>
      <c r="AJ69">
        <v>3163.75</v>
      </c>
      <c r="AK69">
        <v>189.83</v>
      </c>
      <c r="AL69">
        <v>536.57000000000005</v>
      </c>
      <c r="AM69">
        <v>67.069999999999993</v>
      </c>
      <c r="AN69">
        <v>16.29</v>
      </c>
      <c r="AO69">
        <v>20.54</v>
      </c>
      <c r="AP69">
        <v>60</v>
      </c>
      <c r="AQ69" t="s">
        <v>82</v>
      </c>
      <c r="AR69">
        <v>52.728999999999999</v>
      </c>
      <c r="AS69">
        <v>60</v>
      </c>
      <c r="AT69" t="s">
        <v>107</v>
      </c>
      <c r="AU69" t="s">
        <v>84</v>
      </c>
      <c r="AV69">
        <v>3</v>
      </c>
      <c r="AW69" t="s">
        <v>85</v>
      </c>
      <c r="AY69" t="s">
        <v>87</v>
      </c>
      <c r="AZ69" t="s">
        <v>88</v>
      </c>
      <c r="BA69" t="s">
        <v>89</v>
      </c>
      <c r="BB69" t="s">
        <v>90</v>
      </c>
      <c r="BC69">
        <v>20990</v>
      </c>
      <c r="BD69">
        <v>20240807</v>
      </c>
      <c r="BE69">
        <v>50.145000000000003</v>
      </c>
      <c r="BG69">
        <v>5099984794</v>
      </c>
      <c r="BH69">
        <v>20240801</v>
      </c>
      <c r="BJ69" t="s">
        <v>89</v>
      </c>
      <c r="BK69" t="s">
        <v>171</v>
      </c>
    </row>
    <row r="70" spans="1:63" ht="12.75" x14ac:dyDescent="0.2">
      <c r="A70">
        <v>12</v>
      </c>
      <c r="B70">
        <v>8</v>
      </c>
      <c r="C70">
        <v>2024</v>
      </c>
      <c r="D70">
        <v>122796</v>
      </c>
      <c r="E70">
        <v>3</v>
      </c>
      <c r="F70" t="s">
        <v>65</v>
      </c>
      <c r="G70" t="s">
        <v>66</v>
      </c>
      <c r="H70">
        <v>20550731399</v>
      </c>
      <c r="I70" t="s">
        <v>67</v>
      </c>
      <c r="J70" t="s">
        <v>68</v>
      </c>
      <c r="K70" t="s">
        <v>69</v>
      </c>
      <c r="L70" t="s">
        <v>69</v>
      </c>
      <c r="M70" t="s">
        <v>70</v>
      </c>
      <c r="N70" t="s">
        <v>71</v>
      </c>
      <c r="O70" t="s">
        <v>71</v>
      </c>
      <c r="P70" t="s">
        <v>72</v>
      </c>
      <c r="Q70" t="s">
        <v>73</v>
      </c>
      <c r="R70" t="s">
        <v>74</v>
      </c>
      <c r="S70" t="s">
        <v>98</v>
      </c>
      <c r="T70" t="s">
        <v>99</v>
      </c>
      <c r="U70">
        <v>8412290000</v>
      </c>
      <c r="V70" t="s">
        <v>164</v>
      </c>
      <c r="W70" t="s">
        <v>425</v>
      </c>
      <c r="X70" t="s">
        <v>426</v>
      </c>
      <c r="Z70" t="s">
        <v>286</v>
      </c>
      <c r="AB70" t="s">
        <v>167</v>
      </c>
      <c r="AC70" t="s">
        <v>427</v>
      </c>
      <c r="AD70">
        <v>109</v>
      </c>
      <c r="AE70" t="s">
        <v>286</v>
      </c>
      <c r="AG70">
        <v>2034.19</v>
      </c>
      <c r="AH70">
        <v>82.11</v>
      </c>
      <c r="AI70">
        <v>20.34</v>
      </c>
      <c r="AJ70">
        <v>2136.64</v>
      </c>
      <c r="AK70">
        <v>0</v>
      </c>
      <c r="AL70">
        <v>341.86</v>
      </c>
      <c r="AM70">
        <v>42.73</v>
      </c>
      <c r="AN70">
        <v>39</v>
      </c>
      <c r="AO70">
        <v>40.659999999999997</v>
      </c>
      <c r="AP70">
        <v>4</v>
      </c>
      <c r="AQ70" t="s">
        <v>82</v>
      </c>
      <c r="AR70">
        <v>534.15899999999999</v>
      </c>
      <c r="AS70">
        <v>4</v>
      </c>
      <c r="AT70" t="s">
        <v>290</v>
      </c>
      <c r="AU70" t="s">
        <v>84</v>
      </c>
      <c r="AV70">
        <v>0</v>
      </c>
      <c r="AW70" t="s">
        <v>85</v>
      </c>
      <c r="AX70" t="s">
        <v>390</v>
      </c>
      <c r="AY70" t="s">
        <v>108</v>
      </c>
      <c r="BA70" t="s">
        <v>170</v>
      </c>
      <c r="BB70" t="s">
        <v>90</v>
      </c>
      <c r="BC70">
        <v>21673</v>
      </c>
      <c r="BD70">
        <v>20240813</v>
      </c>
      <c r="BE70">
        <v>508.548</v>
      </c>
      <c r="BG70" t="s">
        <v>428</v>
      </c>
      <c r="BH70">
        <v>20240809</v>
      </c>
      <c r="BJ70" t="s">
        <v>112</v>
      </c>
    </row>
    <row r="71" spans="1:63" ht="12.75" x14ac:dyDescent="0.2">
      <c r="A71">
        <v>12</v>
      </c>
      <c r="B71">
        <v>8</v>
      </c>
      <c r="C71">
        <v>2024</v>
      </c>
      <c r="D71">
        <v>122796</v>
      </c>
      <c r="E71">
        <v>8</v>
      </c>
      <c r="F71" t="s">
        <v>65</v>
      </c>
      <c r="G71" t="s">
        <v>66</v>
      </c>
      <c r="H71">
        <v>20550731399</v>
      </c>
      <c r="I71" t="s">
        <v>67</v>
      </c>
      <c r="J71" t="s">
        <v>68</v>
      </c>
      <c r="K71" t="s">
        <v>69</v>
      </c>
      <c r="L71" t="s">
        <v>69</v>
      </c>
      <c r="M71" t="s">
        <v>70</v>
      </c>
      <c r="N71" t="s">
        <v>71</v>
      </c>
      <c r="O71" t="s">
        <v>71</v>
      </c>
      <c r="P71" t="s">
        <v>72</v>
      </c>
      <c r="Q71" t="s">
        <v>73</v>
      </c>
      <c r="R71" t="s">
        <v>98</v>
      </c>
      <c r="S71" t="s">
        <v>98</v>
      </c>
      <c r="T71" t="s">
        <v>99</v>
      </c>
      <c r="U71">
        <v>8412290000</v>
      </c>
      <c r="V71" t="s">
        <v>164</v>
      </c>
      <c r="W71" t="s">
        <v>429</v>
      </c>
      <c r="X71" t="s">
        <v>192</v>
      </c>
      <c r="Y71" t="s">
        <v>430</v>
      </c>
      <c r="Z71" t="s">
        <v>402</v>
      </c>
      <c r="AB71" t="s">
        <v>79</v>
      </c>
      <c r="AC71" t="s">
        <v>81</v>
      </c>
      <c r="AD71" t="s">
        <v>1399</v>
      </c>
      <c r="AE71" t="s">
        <v>402</v>
      </c>
      <c r="AG71">
        <v>6232.54</v>
      </c>
      <c r="AH71">
        <v>251.56</v>
      </c>
      <c r="AI71">
        <v>62.33</v>
      </c>
      <c r="AJ71">
        <v>6546.43</v>
      </c>
      <c r="AK71">
        <v>0</v>
      </c>
      <c r="AL71">
        <v>1047.43</v>
      </c>
      <c r="AM71">
        <v>130.93</v>
      </c>
      <c r="AN71">
        <v>119.5</v>
      </c>
      <c r="AO71">
        <v>124.59</v>
      </c>
      <c r="AP71">
        <v>10</v>
      </c>
      <c r="AQ71" t="s">
        <v>82</v>
      </c>
      <c r="AR71">
        <v>654.64300000000003</v>
      </c>
      <c r="AS71">
        <v>10</v>
      </c>
      <c r="AT71" t="s">
        <v>107</v>
      </c>
      <c r="AU71" t="s">
        <v>84</v>
      </c>
      <c r="AV71">
        <v>0</v>
      </c>
      <c r="AW71" t="s">
        <v>85</v>
      </c>
      <c r="AX71" t="s">
        <v>390</v>
      </c>
      <c r="AY71" t="s">
        <v>108</v>
      </c>
      <c r="BA71" t="s">
        <v>170</v>
      </c>
      <c r="BB71" t="s">
        <v>90</v>
      </c>
      <c r="BC71">
        <v>21673</v>
      </c>
      <c r="BD71">
        <v>20240813</v>
      </c>
      <c r="BE71">
        <v>623.25400000000002</v>
      </c>
      <c r="BG71" t="s">
        <v>428</v>
      </c>
      <c r="BH71">
        <v>20240809</v>
      </c>
      <c r="BJ71" t="s">
        <v>112</v>
      </c>
    </row>
    <row r="72" spans="1:63" ht="12.75" x14ac:dyDescent="0.2">
      <c r="A72">
        <v>12</v>
      </c>
      <c r="B72">
        <v>8</v>
      </c>
      <c r="C72">
        <v>2024</v>
      </c>
      <c r="D72">
        <v>122796</v>
      </c>
      <c r="E72">
        <v>4</v>
      </c>
      <c r="F72" t="s">
        <v>65</v>
      </c>
      <c r="G72" t="s">
        <v>66</v>
      </c>
      <c r="H72">
        <v>20550731399</v>
      </c>
      <c r="I72" t="s">
        <v>67</v>
      </c>
      <c r="J72" t="s">
        <v>68</v>
      </c>
      <c r="K72" t="s">
        <v>69</v>
      </c>
      <c r="L72" t="s">
        <v>69</v>
      </c>
      <c r="M72" t="s">
        <v>70</v>
      </c>
      <c r="N72" t="s">
        <v>71</v>
      </c>
      <c r="O72" t="s">
        <v>71</v>
      </c>
      <c r="P72" t="s">
        <v>72</v>
      </c>
      <c r="Q72" t="s">
        <v>73</v>
      </c>
      <c r="R72" t="s">
        <v>74</v>
      </c>
      <c r="S72" t="s">
        <v>98</v>
      </c>
      <c r="T72" t="s">
        <v>99</v>
      </c>
      <c r="U72">
        <v>8412290000</v>
      </c>
      <c r="V72" t="s">
        <v>164</v>
      </c>
      <c r="W72" t="s">
        <v>431</v>
      </c>
      <c r="X72" t="s">
        <v>432</v>
      </c>
      <c r="Z72" t="s">
        <v>286</v>
      </c>
      <c r="AB72" t="s">
        <v>167</v>
      </c>
      <c r="AC72" t="s">
        <v>427</v>
      </c>
      <c r="AD72">
        <v>104</v>
      </c>
      <c r="AE72" t="s">
        <v>286</v>
      </c>
      <c r="AG72">
        <v>874.8</v>
      </c>
      <c r="AH72">
        <v>35.31</v>
      </c>
      <c r="AI72">
        <v>8.75</v>
      </c>
      <c r="AJ72">
        <v>918.86</v>
      </c>
      <c r="AK72">
        <v>0</v>
      </c>
      <c r="AL72">
        <v>147.02000000000001</v>
      </c>
      <c r="AM72">
        <v>18.38</v>
      </c>
      <c r="AN72">
        <v>16.77</v>
      </c>
      <c r="AO72">
        <v>17.489999999999998</v>
      </c>
      <c r="AP72">
        <v>3</v>
      </c>
      <c r="AQ72" t="s">
        <v>82</v>
      </c>
      <c r="AR72">
        <v>306.286</v>
      </c>
      <c r="AS72">
        <v>3</v>
      </c>
      <c r="AT72" t="s">
        <v>290</v>
      </c>
      <c r="AU72" t="s">
        <v>84</v>
      </c>
      <c r="AV72">
        <v>0</v>
      </c>
      <c r="AW72" t="s">
        <v>85</v>
      </c>
      <c r="AX72" t="s">
        <v>390</v>
      </c>
      <c r="AY72" t="s">
        <v>108</v>
      </c>
      <c r="BA72" t="s">
        <v>170</v>
      </c>
      <c r="BB72" t="s">
        <v>90</v>
      </c>
      <c r="BC72">
        <v>21673</v>
      </c>
      <c r="BD72">
        <v>20240813</v>
      </c>
      <c r="BE72">
        <v>291.60000000000002</v>
      </c>
      <c r="BG72" t="s">
        <v>428</v>
      </c>
      <c r="BH72">
        <v>20240809</v>
      </c>
      <c r="BJ72" t="s">
        <v>112</v>
      </c>
    </row>
    <row r="73" spans="1:63" ht="12.75" x14ac:dyDescent="0.2">
      <c r="A73">
        <v>12</v>
      </c>
      <c r="B73">
        <v>8</v>
      </c>
      <c r="C73">
        <v>2024</v>
      </c>
      <c r="D73">
        <v>122796</v>
      </c>
      <c r="E73">
        <v>5</v>
      </c>
      <c r="F73" t="s">
        <v>65</v>
      </c>
      <c r="G73" t="s">
        <v>66</v>
      </c>
      <c r="H73">
        <v>20550731399</v>
      </c>
      <c r="I73" t="s">
        <v>67</v>
      </c>
      <c r="J73" t="s">
        <v>68</v>
      </c>
      <c r="K73" t="s">
        <v>69</v>
      </c>
      <c r="L73" t="s">
        <v>69</v>
      </c>
      <c r="M73" t="s">
        <v>70</v>
      </c>
      <c r="N73" t="s">
        <v>71</v>
      </c>
      <c r="O73" t="s">
        <v>71</v>
      </c>
      <c r="P73" t="s">
        <v>72</v>
      </c>
      <c r="Q73" t="s">
        <v>73</v>
      </c>
      <c r="R73" t="s">
        <v>74</v>
      </c>
      <c r="S73" t="s">
        <v>98</v>
      </c>
      <c r="T73" t="s">
        <v>99</v>
      </c>
      <c r="U73">
        <v>8412290000</v>
      </c>
      <c r="V73" t="s">
        <v>164</v>
      </c>
      <c r="W73" t="s">
        <v>433</v>
      </c>
      <c r="X73" t="s">
        <v>434</v>
      </c>
      <c r="Z73" t="s">
        <v>286</v>
      </c>
      <c r="AB73" t="s">
        <v>167</v>
      </c>
      <c r="AC73" t="s">
        <v>427</v>
      </c>
      <c r="AD73" t="s">
        <v>435</v>
      </c>
      <c r="AE73" t="s">
        <v>286</v>
      </c>
      <c r="AG73">
        <v>653.30999999999995</v>
      </c>
      <c r="AH73">
        <v>26.37</v>
      </c>
      <c r="AI73">
        <v>6.53</v>
      </c>
      <c r="AJ73">
        <v>686.21</v>
      </c>
      <c r="AK73">
        <v>0</v>
      </c>
      <c r="AL73">
        <v>109.8</v>
      </c>
      <c r="AM73">
        <v>13.72</v>
      </c>
      <c r="AN73">
        <v>12.53</v>
      </c>
      <c r="AO73">
        <v>13.06</v>
      </c>
      <c r="AP73">
        <v>1</v>
      </c>
      <c r="AQ73" t="s">
        <v>82</v>
      </c>
      <c r="AR73">
        <v>686.21299999999997</v>
      </c>
      <c r="AS73">
        <v>1</v>
      </c>
      <c r="AT73" t="s">
        <v>290</v>
      </c>
      <c r="AU73" t="s">
        <v>84</v>
      </c>
      <c r="AV73">
        <v>0</v>
      </c>
      <c r="AW73" t="s">
        <v>85</v>
      </c>
      <c r="AX73" t="s">
        <v>390</v>
      </c>
      <c r="AY73" t="s">
        <v>108</v>
      </c>
      <c r="BA73" t="s">
        <v>170</v>
      </c>
      <c r="BB73" t="s">
        <v>90</v>
      </c>
      <c r="BC73">
        <v>21673</v>
      </c>
      <c r="BD73">
        <v>20240813</v>
      </c>
      <c r="BE73">
        <v>653.30999999999995</v>
      </c>
      <c r="BG73" t="s">
        <v>428</v>
      </c>
      <c r="BH73">
        <v>20240809</v>
      </c>
      <c r="BJ73" t="s">
        <v>112</v>
      </c>
    </row>
    <row r="74" spans="1:63" ht="12.75" x14ac:dyDescent="0.2">
      <c r="A74">
        <v>12</v>
      </c>
      <c r="B74">
        <v>8</v>
      </c>
      <c r="C74">
        <v>2024</v>
      </c>
      <c r="D74">
        <v>122796</v>
      </c>
      <c r="E74">
        <v>1</v>
      </c>
      <c r="F74" t="s">
        <v>65</v>
      </c>
      <c r="G74" t="s">
        <v>66</v>
      </c>
      <c r="H74">
        <v>20550731399</v>
      </c>
      <c r="I74" t="s">
        <v>67</v>
      </c>
      <c r="J74" t="s">
        <v>68</v>
      </c>
      <c r="K74" t="s">
        <v>69</v>
      </c>
      <c r="L74" t="s">
        <v>69</v>
      </c>
      <c r="M74" t="s">
        <v>70</v>
      </c>
      <c r="N74" t="s">
        <v>71</v>
      </c>
      <c r="O74" t="s">
        <v>71</v>
      </c>
      <c r="P74" t="s">
        <v>72</v>
      </c>
      <c r="Q74" t="s">
        <v>73</v>
      </c>
      <c r="R74" t="s">
        <v>74</v>
      </c>
      <c r="S74" t="s">
        <v>98</v>
      </c>
      <c r="T74" t="s">
        <v>99</v>
      </c>
      <c r="U74">
        <v>8412290000</v>
      </c>
      <c r="V74" t="s">
        <v>164</v>
      </c>
      <c r="W74" t="s">
        <v>436</v>
      </c>
      <c r="X74" t="s">
        <v>437</v>
      </c>
      <c r="Z74" t="s">
        <v>286</v>
      </c>
      <c r="AB74" t="s">
        <v>167</v>
      </c>
      <c r="AC74" t="s">
        <v>427</v>
      </c>
      <c r="AD74">
        <v>112</v>
      </c>
      <c r="AE74" t="s">
        <v>286</v>
      </c>
      <c r="AG74">
        <v>1364.6</v>
      </c>
      <c r="AH74">
        <v>55.08</v>
      </c>
      <c r="AI74">
        <v>13.65</v>
      </c>
      <c r="AJ74">
        <v>1433.33</v>
      </c>
      <c r="AK74">
        <v>0</v>
      </c>
      <c r="AL74">
        <v>229.33</v>
      </c>
      <c r="AM74">
        <v>28.67</v>
      </c>
      <c r="AN74">
        <v>26.16</v>
      </c>
      <c r="AO74">
        <v>27.28</v>
      </c>
      <c r="AP74">
        <v>2</v>
      </c>
      <c r="AQ74" t="s">
        <v>82</v>
      </c>
      <c r="AR74">
        <v>716.66300000000001</v>
      </c>
      <c r="AS74">
        <v>2</v>
      </c>
      <c r="AT74" t="s">
        <v>290</v>
      </c>
      <c r="AU74" t="s">
        <v>84</v>
      </c>
      <c r="AV74">
        <v>1</v>
      </c>
      <c r="AW74" t="s">
        <v>85</v>
      </c>
      <c r="AX74" t="s">
        <v>390</v>
      </c>
      <c r="AY74" t="s">
        <v>108</v>
      </c>
      <c r="BA74" t="s">
        <v>170</v>
      </c>
      <c r="BB74" t="s">
        <v>90</v>
      </c>
      <c r="BC74">
        <v>21673</v>
      </c>
      <c r="BD74">
        <v>20240813</v>
      </c>
      <c r="BE74">
        <v>682.3</v>
      </c>
      <c r="BG74" t="s">
        <v>428</v>
      </c>
      <c r="BH74">
        <v>20240809</v>
      </c>
      <c r="BJ74" t="s">
        <v>112</v>
      </c>
    </row>
    <row r="75" spans="1:63" ht="12.75" x14ac:dyDescent="0.2">
      <c r="A75">
        <v>12</v>
      </c>
      <c r="B75">
        <v>8</v>
      </c>
      <c r="C75">
        <v>2024</v>
      </c>
      <c r="D75">
        <v>122796</v>
      </c>
      <c r="E75">
        <v>6</v>
      </c>
      <c r="F75" t="s">
        <v>65</v>
      </c>
      <c r="G75" t="s">
        <v>66</v>
      </c>
      <c r="H75">
        <v>20550731399</v>
      </c>
      <c r="I75" t="s">
        <v>67</v>
      </c>
      <c r="J75" t="s">
        <v>68</v>
      </c>
      <c r="K75" t="s">
        <v>69</v>
      </c>
      <c r="L75" t="s">
        <v>69</v>
      </c>
      <c r="M75" t="s">
        <v>70</v>
      </c>
      <c r="N75" t="s">
        <v>71</v>
      </c>
      <c r="O75" t="s">
        <v>71</v>
      </c>
      <c r="P75" t="s">
        <v>72</v>
      </c>
      <c r="Q75" t="s">
        <v>73</v>
      </c>
      <c r="R75" t="s">
        <v>74</v>
      </c>
      <c r="S75" t="s">
        <v>98</v>
      </c>
      <c r="T75" t="s">
        <v>99</v>
      </c>
      <c r="U75">
        <v>8412290000</v>
      </c>
      <c r="V75" t="s">
        <v>164</v>
      </c>
      <c r="W75" t="s">
        <v>438</v>
      </c>
      <c r="X75" t="s">
        <v>426</v>
      </c>
      <c r="Z75" t="s">
        <v>286</v>
      </c>
      <c r="AB75" t="s">
        <v>167</v>
      </c>
      <c r="AC75" t="s">
        <v>427</v>
      </c>
      <c r="AD75" t="s">
        <v>439</v>
      </c>
      <c r="AE75" t="s">
        <v>286</v>
      </c>
      <c r="AG75">
        <v>3051.29</v>
      </c>
      <c r="AH75">
        <v>123.16</v>
      </c>
      <c r="AI75">
        <v>30.51</v>
      </c>
      <c r="AJ75">
        <v>3204.96</v>
      </c>
      <c r="AK75">
        <v>0</v>
      </c>
      <c r="AL75">
        <v>512.79</v>
      </c>
      <c r="AM75">
        <v>64.099999999999994</v>
      </c>
      <c r="AN75">
        <v>58.51</v>
      </c>
      <c r="AO75">
        <v>60.99</v>
      </c>
      <c r="AP75">
        <v>6</v>
      </c>
      <c r="AQ75" t="s">
        <v>82</v>
      </c>
      <c r="AR75">
        <v>534.16</v>
      </c>
      <c r="AS75">
        <v>6</v>
      </c>
      <c r="AT75" t="s">
        <v>290</v>
      </c>
      <c r="AU75" t="s">
        <v>84</v>
      </c>
      <c r="AV75">
        <v>0</v>
      </c>
      <c r="AW75" t="s">
        <v>85</v>
      </c>
      <c r="AX75" t="s">
        <v>390</v>
      </c>
      <c r="AY75" t="s">
        <v>108</v>
      </c>
      <c r="BA75" t="s">
        <v>170</v>
      </c>
      <c r="BB75" t="s">
        <v>90</v>
      </c>
      <c r="BC75">
        <v>21673</v>
      </c>
      <c r="BD75">
        <v>20240813</v>
      </c>
      <c r="BE75">
        <v>508.548</v>
      </c>
      <c r="BG75" t="s">
        <v>428</v>
      </c>
      <c r="BH75">
        <v>20240809</v>
      </c>
      <c r="BJ75" t="s">
        <v>112</v>
      </c>
    </row>
    <row r="76" spans="1:63" ht="12.75" x14ac:dyDescent="0.2">
      <c r="A76">
        <v>12</v>
      </c>
      <c r="B76">
        <v>8</v>
      </c>
      <c r="C76">
        <v>2024</v>
      </c>
      <c r="D76">
        <v>122796</v>
      </c>
      <c r="E76">
        <v>2</v>
      </c>
      <c r="F76" t="s">
        <v>65</v>
      </c>
      <c r="G76" t="s">
        <v>66</v>
      </c>
      <c r="H76">
        <v>20550731399</v>
      </c>
      <c r="I76" t="s">
        <v>67</v>
      </c>
      <c r="J76" t="s">
        <v>68</v>
      </c>
      <c r="K76" t="s">
        <v>69</v>
      </c>
      <c r="L76" t="s">
        <v>69</v>
      </c>
      <c r="M76" t="s">
        <v>70</v>
      </c>
      <c r="N76" t="s">
        <v>71</v>
      </c>
      <c r="O76" t="s">
        <v>71</v>
      </c>
      <c r="P76" t="s">
        <v>72</v>
      </c>
      <c r="Q76" t="s">
        <v>73</v>
      </c>
      <c r="R76" t="s">
        <v>74</v>
      </c>
      <c r="S76" t="s">
        <v>98</v>
      </c>
      <c r="T76" t="s">
        <v>99</v>
      </c>
      <c r="U76">
        <v>8412290000</v>
      </c>
      <c r="V76" t="s">
        <v>164</v>
      </c>
      <c r="W76" t="s">
        <v>431</v>
      </c>
      <c r="X76" t="s">
        <v>432</v>
      </c>
      <c r="Z76" t="s">
        <v>286</v>
      </c>
      <c r="AB76" t="s">
        <v>167</v>
      </c>
      <c r="AC76" t="s">
        <v>427</v>
      </c>
      <c r="AD76">
        <v>104</v>
      </c>
      <c r="AE76" t="s">
        <v>286</v>
      </c>
      <c r="AG76">
        <v>291.60000000000002</v>
      </c>
      <c r="AH76">
        <v>11.77</v>
      </c>
      <c r="AI76">
        <v>2.92</v>
      </c>
      <c r="AJ76">
        <v>306.29000000000002</v>
      </c>
      <c r="AK76">
        <v>0</v>
      </c>
      <c r="AL76">
        <v>49</v>
      </c>
      <c r="AM76">
        <v>6.13</v>
      </c>
      <c r="AN76">
        <v>5.59</v>
      </c>
      <c r="AO76">
        <v>5.83</v>
      </c>
      <c r="AP76">
        <v>1</v>
      </c>
      <c r="AQ76" t="s">
        <v>82</v>
      </c>
      <c r="AR76">
        <v>306.28500000000003</v>
      </c>
      <c r="AS76">
        <v>1</v>
      </c>
      <c r="AT76" t="s">
        <v>290</v>
      </c>
      <c r="AU76" t="s">
        <v>84</v>
      </c>
      <c r="AV76">
        <v>0</v>
      </c>
      <c r="AW76" t="s">
        <v>85</v>
      </c>
      <c r="AX76" t="s">
        <v>390</v>
      </c>
      <c r="AY76" t="s">
        <v>108</v>
      </c>
      <c r="BA76" t="s">
        <v>170</v>
      </c>
      <c r="BB76" t="s">
        <v>90</v>
      </c>
      <c r="BC76">
        <v>21673</v>
      </c>
      <c r="BD76">
        <v>20240813</v>
      </c>
      <c r="BE76">
        <v>291.60000000000002</v>
      </c>
      <c r="BG76" t="s">
        <v>428</v>
      </c>
      <c r="BH76">
        <v>20240809</v>
      </c>
      <c r="BJ76" t="s">
        <v>112</v>
      </c>
    </row>
    <row r="77" spans="1:63" ht="12.75" x14ac:dyDescent="0.2">
      <c r="A77">
        <v>12</v>
      </c>
      <c r="B77">
        <v>8</v>
      </c>
      <c r="C77">
        <v>2024</v>
      </c>
      <c r="D77">
        <v>122796</v>
      </c>
      <c r="E77">
        <v>7</v>
      </c>
      <c r="F77" t="s">
        <v>65</v>
      </c>
      <c r="G77" t="s">
        <v>66</v>
      </c>
      <c r="H77">
        <v>20550731399</v>
      </c>
      <c r="I77" t="s">
        <v>67</v>
      </c>
      <c r="J77" t="s">
        <v>68</v>
      </c>
      <c r="K77" t="s">
        <v>69</v>
      </c>
      <c r="L77" t="s">
        <v>69</v>
      </c>
      <c r="M77" t="s">
        <v>70</v>
      </c>
      <c r="N77" t="s">
        <v>71</v>
      </c>
      <c r="O77" t="s">
        <v>71</v>
      </c>
      <c r="P77" t="s">
        <v>72</v>
      </c>
      <c r="Q77" t="s">
        <v>73</v>
      </c>
      <c r="R77" t="s">
        <v>98</v>
      </c>
      <c r="S77" t="s">
        <v>98</v>
      </c>
      <c r="T77" t="s">
        <v>99</v>
      </c>
      <c r="U77">
        <v>8412290000</v>
      </c>
      <c r="V77" t="s">
        <v>164</v>
      </c>
      <c r="W77" t="s">
        <v>440</v>
      </c>
      <c r="X77" t="s">
        <v>192</v>
      </c>
      <c r="Y77" t="s">
        <v>441</v>
      </c>
      <c r="Z77" t="s">
        <v>402</v>
      </c>
      <c r="AB77" t="s">
        <v>79</v>
      </c>
      <c r="AC77" t="s">
        <v>81</v>
      </c>
      <c r="AD77" t="s">
        <v>1400</v>
      </c>
      <c r="AE77" t="s">
        <v>402</v>
      </c>
      <c r="AG77">
        <v>2046.24</v>
      </c>
      <c r="AH77">
        <v>82.59</v>
      </c>
      <c r="AI77">
        <v>20.46</v>
      </c>
      <c r="AJ77">
        <v>2149.29</v>
      </c>
      <c r="AK77">
        <v>0</v>
      </c>
      <c r="AL77">
        <v>343.89</v>
      </c>
      <c r="AM77">
        <v>42.99</v>
      </c>
      <c r="AN77">
        <v>39.229999999999997</v>
      </c>
      <c r="AO77">
        <v>40.9</v>
      </c>
      <c r="AP77">
        <v>8</v>
      </c>
      <c r="AQ77" t="s">
        <v>82</v>
      </c>
      <c r="AR77">
        <v>268.66199999999998</v>
      </c>
      <c r="AS77">
        <v>8</v>
      </c>
      <c r="AT77" t="s">
        <v>107</v>
      </c>
      <c r="AU77" t="s">
        <v>84</v>
      </c>
      <c r="AV77">
        <v>0</v>
      </c>
      <c r="AW77" t="s">
        <v>85</v>
      </c>
      <c r="AX77" t="s">
        <v>390</v>
      </c>
      <c r="AY77" t="s">
        <v>108</v>
      </c>
      <c r="BA77" t="s">
        <v>170</v>
      </c>
      <c r="BB77" t="s">
        <v>90</v>
      </c>
      <c r="BC77">
        <v>21673</v>
      </c>
      <c r="BD77">
        <v>20240813</v>
      </c>
      <c r="BE77">
        <v>255.78</v>
      </c>
      <c r="BG77" t="s">
        <v>428</v>
      </c>
      <c r="BH77">
        <v>20240809</v>
      </c>
      <c r="BJ77" t="s">
        <v>112</v>
      </c>
    </row>
    <row r="78" spans="1:63" ht="12.75" x14ac:dyDescent="0.2">
      <c r="A78">
        <v>14</v>
      </c>
      <c r="B78">
        <v>8</v>
      </c>
      <c r="C78">
        <v>2024</v>
      </c>
      <c r="D78">
        <v>124307</v>
      </c>
      <c r="E78">
        <v>3</v>
      </c>
      <c r="F78" t="s">
        <v>65</v>
      </c>
      <c r="G78" t="s">
        <v>66</v>
      </c>
      <c r="H78">
        <v>20550731399</v>
      </c>
      <c r="I78" t="s">
        <v>67</v>
      </c>
      <c r="J78" t="s">
        <v>68</v>
      </c>
      <c r="K78" t="s">
        <v>69</v>
      </c>
      <c r="L78" t="s">
        <v>69</v>
      </c>
      <c r="M78" t="s">
        <v>70</v>
      </c>
      <c r="N78" t="s">
        <v>71</v>
      </c>
      <c r="O78" t="s">
        <v>71</v>
      </c>
      <c r="P78" t="s">
        <v>72</v>
      </c>
      <c r="Q78" t="s">
        <v>162</v>
      </c>
      <c r="R78" t="s">
        <v>74</v>
      </c>
      <c r="S78" t="s">
        <v>74</v>
      </c>
      <c r="T78" t="s">
        <v>163</v>
      </c>
      <c r="U78">
        <v>8431109000</v>
      </c>
      <c r="V78" t="s">
        <v>442</v>
      </c>
      <c r="W78" t="s">
        <v>443</v>
      </c>
      <c r="X78" t="s">
        <v>444</v>
      </c>
      <c r="Y78" t="s">
        <v>147</v>
      </c>
      <c r="Z78" t="s">
        <v>250</v>
      </c>
      <c r="AA78" t="s">
        <v>445</v>
      </c>
      <c r="AB78" t="s">
        <v>444</v>
      </c>
      <c r="AC78" t="s">
        <v>320</v>
      </c>
      <c r="AD78">
        <v>25304</v>
      </c>
      <c r="AE78" t="s">
        <v>445</v>
      </c>
      <c r="AG78">
        <v>901.23</v>
      </c>
      <c r="AH78">
        <v>23.31</v>
      </c>
      <c r="AI78">
        <v>9.01</v>
      </c>
      <c r="AJ78">
        <v>933.55</v>
      </c>
      <c r="AK78">
        <v>0</v>
      </c>
      <c r="AL78">
        <v>149.37</v>
      </c>
      <c r="AM78">
        <v>18.670000000000002</v>
      </c>
      <c r="AN78">
        <v>2.2599999999999998</v>
      </c>
      <c r="AO78">
        <v>2.95</v>
      </c>
      <c r="AP78">
        <v>11</v>
      </c>
      <c r="AQ78" t="s">
        <v>82</v>
      </c>
      <c r="AR78">
        <v>84.867999999999995</v>
      </c>
      <c r="AS78">
        <v>11</v>
      </c>
      <c r="AT78" t="s">
        <v>107</v>
      </c>
      <c r="AU78" t="s">
        <v>84</v>
      </c>
      <c r="AV78">
        <v>0</v>
      </c>
      <c r="AW78" t="s">
        <v>85</v>
      </c>
      <c r="AX78" t="s">
        <v>446</v>
      </c>
      <c r="AY78" t="s">
        <v>87</v>
      </c>
      <c r="AZ78" t="s">
        <v>88</v>
      </c>
      <c r="BA78" t="s">
        <v>89</v>
      </c>
      <c r="BB78" t="s">
        <v>200</v>
      </c>
      <c r="BC78">
        <v>20993</v>
      </c>
      <c r="BD78">
        <v>20240812</v>
      </c>
      <c r="BE78">
        <v>81.93</v>
      </c>
      <c r="BG78">
        <v>3634841980</v>
      </c>
      <c r="BH78">
        <v>20240808</v>
      </c>
      <c r="BJ78" t="s">
        <v>89</v>
      </c>
    </row>
    <row r="79" spans="1:63" ht="12.75" x14ac:dyDescent="0.2">
      <c r="A79">
        <v>14</v>
      </c>
      <c r="B79">
        <v>8</v>
      </c>
      <c r="C79">
        <v>2024</v>
      </c>
      <c r="D79">
        <v>124307</v>
      </c>
      <c r="E79">
        <v>7</v>
      </c>
      <c r="F79" t="s">
        <v>65</v>
      </c>
      <c r="G79" t="s">
        <v>66</v>
      </c>
      <c r="H79">
        <v>20550731399</v>
      </c>
      <c r="I79" t="s">
        <v>67</v>
      </c>
      <c r="J79" t="s">
        <v>68</v>
      </c>
      <c r="K79" t="s">
        <v>69</v>
      </c>
      <c r="L79" t="s">
        <v>69</v>
      </c>
      <c r="M79" t="s">
        <v>70</v>
      </c>
      <c r="N79" t="s">
        <v>71</v>
      </c>
      <c r="O79" t="s">
        <v>71</v>
      </c>
      <c r="P79" t="s">
        <v>72</v>
      </c>
      <c r="Q79" t="s">
        <v>162</v>
      </c>
      <c r="R79" t="s">
        <v>74</v>
      </c>
      <c r="S79" t="s">
        <v>74</v>
      </c>
      <c r="T79" t="s">
        <v>163</v>
      </c>
      <c r="U79">
        <v>8431109000</v>
      </c>
      <c r="V79" t="s">
        <v>442</v>
      </c>
      <c r="W79" t="s">
        <v>447</v>
      </c>
      <c r="X79" t="s">
        <v>448</v>
      </c>
      <c r="Y79" t="s">
        <v>147</v>
      </c>
      <c r="Z79" t="s">
        <v>250</v>
      </c>
      <c r="AA79" t="s">
        <v>449</v>
      </c>
      <c r="AB79" t="s">
        <v>448</v>
      </c>
      <c r="AC79" t="s">
        <v>320</v>
      </c>
      <c r="AD79">
        <v>21252</v>
      </c>
      <c r="AE79" t="s">
        <v>449</v>
      </c>
      <c r="AG79">
        <v>273.14</v>
      </c>
      <c r="AH79">
        <v>7.06</v>
      </c>
      <c r="AI79">
        <v>2.73</v>
      </c>
      <c r="AJ79">
        <v>282.94</v>
      </c>
      <c r="AK79">
        <v>0</v>
      </c>
      <c r="AL79">
        <v>45.27</v>
      </c>
      <c r="AM79">
        <v>5.66</v>
      </c>
      <c r="AN79">
        <v>0.68</v>
      </c>
      <c r="AO79">
        <v>0.89</v>
      </c>
      <c r="AP79">
        <v>7</v>
      </c>
      <c r="AQ79" t="s">
        <v>82</v>
      </c>
      <c r="AR79">
        <v>40.418999999999997</v>
      </c>
      <c r="AS79">
        <v>7</v>
      </c>
      <c r="AT79" t="s">
        <v>107</v>
      </c>
      <c r="AU79" t="s">
        <v>84</v>
      </c>
      <c r="AV79">
        <v>0</v>
      </c>
      <c r="AW79" t="s">
        <v>85</v>
      </c>
      <c r="AX79" t="s">
        <v>446</v>
      </c>
      <c r="AY79" t="s">
        <v>87</v>
      </c>
      <c r="AZ79" t="s">
        <v>88</v>
      </c>
      <c r="BA79" t="s">
        <v>89</v>
      </c>
      <c r="BB79" t="s">
        <v>200</v>
      </c>
      <c r="BC79">
        <v>20993</v>
      </c>
      <c r="BD79">
        <v>20240812</v>
      </c>
      <c r="BE79">
        <v>39.020000000000003</v>
      </c>
      <c r="BG79">
        <v>3634841980</v>
      </c>
      <c r="BH79">
        <v>20240808</v>
      </c>
      <c r="BJ79" t="s">
        <v>89</v>
      </c>
    </row>
    <row r="80" spans="1:63" ht="12.75" x14ac:dyDescent="0.2">
      <c r="A80">
        <v>14</v>
      </c>
      <c r="B80">
        <v>8</v>
      </c>
      <c r="C80">
        <v>2024</v>
      </c>
      <c r="D80">
        <v>124307</v>
      </c>
      <c r="E80">
        <v>4</v>
      </c>
      <c r="F80" t="s">
        <v>65</v>
      </c>
      <c r="G80" t="s">
        <v>66</v>
      </c>
      <c r="H80">
        <v>20550731399</v>
      </c>
      <c r="I80" t="s">
        <v>67</v>
      </c>
      <c r="J80" t="s">
        <v>68</v>
      </c>
      <c r="K80" t="s">
        <v>69</v>
      </c>
      <c r="L80" t="s">
        <v>69</v>
      </c>
      <c r="M80" t="s">
        <v>70</v>
      </c>
      <c r="N80" t="s">
        <v>71</v>
      </c>
      <c r="O80" t="s">
        <v>71</v>
      </c>
      <c r="P80" t="s">
        <v>72</v>
      </c>
      <c r="Q80" t="s">
        <v>162</v>
      </c>
      <c r="R80" t="s">
        <v>74</v>
      </c>
      <c r="S80" t="s">
        <v>74</v>
      </c>
      <c r="T80" t="s">
        <v>163</v>
      </c>
      <c r="U80">
        <v>8431109000</v>
      </c>
      <c r="V80" t="s">
        <v>442</v>
      </c>
      <c r="W80" t="s">
        <v>450</v>
      </c>
      <c r="X80" t="s">
        <v>444</v>
      </c>
      <c r="Y80" t="s">
        <v>147</v>
      </c>
      <c r="Z80" t="s">
        <v>250</v>
      </c>
      <c r="AA80" t="s">
        <v>451</v>
      </c>
      <c r="AB80" t="s">
        <v>444</v>
      </c>
      <c r="AC80" t="s">
        <v>320</v>
      </c>
      <c r="AD80">
        <v>25194</v>
      </c>
      <c r="AE80" t="s">
        <v>451</v>
      </c>
      <c r="AG80">
        <v>411.96</v>
      </c>
      <c r="AH80">
        <v>10.65</v>
      </c>
      <c r="AI80">
        <v>4.12</v>
      </c>
      <c r="AJ80">
        <v>426.73</v>
      </c>
      <c r="AK80">
        <v>0</v>
      </c>
      <c r="AL80">
        <v>68.28</v>
      </c>
      <c r="AM80">
        <v>8.5299999999999994</v>
      </c>
      <c r="AN80">
        <v>1.03</v>
      </c>
      <c r="AO80">
        <v>1.35</v>
      </c>
      <c r="AP80">
        <v>12</v>
      </c>
      <c r="AQ80" t="s">
        <v>82</v>
      </c>
      <c r="AR80">
        <v>35.561</v>
      </c>
      <c r="AS80">
        <v>12</v>
      </c>
      <c r="AT80" t="s">
        <v>107</v>
      </c>
      <c r="AU80" t="s">
        <v>84</v>
      </c>
      <c r="AV80">
        <v>0</v>
      </c>
      <c r="AW80" t="s">
        <v>85</v>
      </c>
      <c r="AX80" t="s">
        <v>446</v>
      </c>
      <c r="AY80" t="s">
        <v>87</v>
      </c>
      <c r="AZ80" t="s">
        <v>88</v>
      </c>
      <c r="BA80" t="s">
        <v>89</v>
      </c>
      <c r="BB80" t="s">
        <v>200</v>
      </c>
      <c r="BC80">
        <v>20993</v>
      </c>
      <c r="BD80">
        <v>20240812</v>
      </c>
      <c r="BE80">
        <v>34.33</v>
      </c>
      <c r="BG80">
        <v>3634841980</v>
      </c>
      <c r="BH80">
        <v>20240808</v>
      </c>
      <c r="BJ80" t="s">
        <v>89</v>
      </c>
    </row>
    <row r="81" spans="1:63" ht="12.75" x14ac:dyDescent="0.2">
      <c r="A81">
        <v>14</v>
      </c>
      <c r="B81">
        <v>8</v>
      </c>
      <c r="C81">
        <v>2024</v>
      </c>
      <c r="D81">
        <v>124307</v>
      </c>
      <c r="E81">
        <v>8</v>
      </c>
      <c r="F81" t="s">
        <v>65</v>
      </c>
      <c r="G81" t="s">
        <v>66</v>
      </c>
      <c r="H81">
        <v>20550731399</v>
      </c>
      <c r="I81" t="s">
        <v>67</v>
      </c>
      <c r="J81" t="s">
        <v>68</v>
      </c>
      <c r="K81" t="s">
        <v>69</v>
      </c>
      <c r="L81" t="s">
        <v>69</v>
      </c>
      <c r="M81" t="s">
        <v>70</v>
      </c>
      <c r="N81" t="s">
        <v>71</v>
      </c>
      <c r="O81" t="s">
        <v>71</v>
      </c>
      <c r="P81" t="s">
        <v>72</v>
      </c>
      <c r="Q81" t="s">
        <v>162</v>
      </c>
      <c r="R81" t="s">
        <v>74</v>
      </c>
      <c r="S81" t="s">
        <v>74</v>
      </c>
      <c r="T81" t="s">
        <v>163</v>
      </c>
      <c r="U81">
        <v>4016930000</v>
      </c>
      <c r="V81" t="s">
        <v>76</v>
      </c>
      <c r="W81" t="s">
        <v>452</v>
      </c>
      <c r="X81" t="s">
        <v>79</v>
      </c>
      <c r="Y81" t="s">
        <v>83</v>
      </c>
      <c r="Z81" t="s">
        <v>250</v>
      </c>
      <c r="AA81" t="s">
        <v>453</v>
      </c>
      <c r="AB81" t="s">
        <v>79</v>
      </c>
      <c r="AC81" t="s">
        <v>320</v>
      </c>
      <c r="AD81">
        <v>23125</v>
      </c>
      <c r="AE81" t="s">
        <v>453</v>
      </c>
      <c r="AG81">
        <v>852</v>
      </c>
      <c r="AH81">
        <v>22.03</v>
      </c>
      <c r="AI81">
        <v>14.91</v>
      </c>
      <c r="AJ81">
        <v>888.94</v>
      </c>
      <c r="AK81">
        <v>53.34</v>
      </c>
      <c r="AL81">
        <v>150.76</v>
      </c>
      <c r="AM81">
        <v>18.850000000000001</v>
      </c>
      <c r="AN81">
        <v>2.13</v>
      </c>
      <c r="AO81">
        <v>2.79</v>
      </c>
      <c r="AP81">
        <v>2</v>
      </c>
      <c r="AQ81" t="s">
        <v>82</v>
      </c>
      <c r="AR81">
        <v>444.47199999999998</v>
      </c>
      <c r="AS81">
        <v>2</v>
      </c>
      <c r="AT81" t="s">
        <v>83</v>
      </c>
      <c r="AU81" t="s">
        <v>84</v>
      </c>
      <c r="AV81">
        <v>0</v>
      </c>
      <c r="AW81" t="s">
        <v>85</v>
      </c>
      <c r="AX81" t="s">
        <v>446</v>
      </c>
      <c r="AY81" t="s">
        <v>87</v>
      </c>
      <c r="AZ81" t="s">
        <v>88</v>
      </c>
      <c r="BA81" t="s">
        <v>89</v>
      </c>
      <c r="BB81" t="s">
        <v>200</v>
      </c>
      <c r="BC81">
        <v>20993</v>
      </c>
      <c r="BD81">
        <v>20240812</v>
      </c>
      <c r="BE81">
        <v>426</v>
      </c>
      <c r="BG81">
        <v>3634841980</v>
      </c>
      <c r="BH81">
        <v>20240808</v>
      </c>
      <c r="BJ81" t="s">
        <v>89</v>
      </c>
    </row>
    <row r="82" spans="1:63" ht="12.75" x14ac:dyDescent="0.2">
      <c r="A82">
        <v>14</v>
      </c>
      <c r="B82">
        <v>8</v>
      </c>
      <c r="C82">
        <v>2024</v>
      </c>
      <c r="D82">
        <v>124307</v>
      </c>
      <c r="E82">
        <v>1</v>
      </c>
      <c r="F82" t="s">
        <v>65</v>
      </c>
      <c r="G82" t="s">
        <v>66</v>
      </c>
      <c r="H82">
        <v>20550731399</v>
      </c>
      <c r="I82" t="s">
        <v>67</v>
      </c>
      <c r="J82" t="s">
        <v>68</v>
      </c>
      <c r="K82" t="s">
        <v>69</v>
      </c>
      <c r="L82" t="s">
        <v>69</v>
      </c>
      <c r="M82" t="s">
        <v>70</v>
      </c>
      <c r="N82" t="s">
        <v>71</v>
      </c>
      <c r="O82" t="s">
        <v>71</v>
      </c>
      <c r="P82" t="s">
        <v>72</v>
      </c>
      <c r="Q82" t="s">
        <v>162</v>
      </c>
      <c r="R82" t="s">
        <v>74</v>
      </c>
      <c r="S82" t="s">
        <v>74</v>
      </c>
      <c r="T82" t="s">
        <v>163</v>
      </c>
      <c r="U82">
        <v>4016930000</v>
      </c>
      <c r="V82" t="s">
        <v>76</v>
      </c>
      <c r="W82" t="s">
        <v>454</v>
      </c>
      <c r="X82" t="s">
        <v>79</v>
      </c>
      <c r="Y82" t="s">
        <v>83</v>
      </c>
      <c r="Z82" t="s">
        <v>250</v>
      </c>
      <c r="AA82" t="s">
        <v>455</v>
      </c>
      <c r="AB82" t="s">
        <v>79</v>
      </c>
      <c r="AC82" t="s">
        <v>320</v>
      </c>
      <c r="AD82">
        <v>23123</v>
      </c>
      <c r="AE82" t="s">
        <v>455</v>
      </c>
      <c r="AG82">
        <v>763.08</v>
      </c>
      <c r="AH82">
        <v>19.73</v>
      </c>
      <c r="AI82">
        <v>13.35</v>
      </c>
      <c r="AJ82">
        <v>796.17</v>
      </c>
      <c r="AK82">
        <v>47.77</v>
      </c>
      <c r="AL82">
        <v>135.03</v>
      </c>
      <c r="AM82">
        <v>16.88</v>
      </c>
      <c r="AN82">
        <v>1.91</v>
      </c>
      <c r="AO82">
        <v>2.5</v>
      </c>
      <c r="AP82">
        <v>2</v>
      </c>
      <c r="AQ82" t="s">
        <v>82</v>
      </c>
      <c r="AR82">
        <v>398.084</v>
      </c>
      <c r="AS82">
        <v>2</v>
      </c>
      <c r="AT82" t="s">
        <v>83</v>
      </c>
      <c r="AU82" t="s">
        <v>84</v>
      </c>
      <c r="AV82">
        <v>1</v>
      </c>
      <c r="AW82" t="s">
        <v>85</v>
      </c>
      <c r="AX82" t="s">
        <v>446</v>
      </c>
      <c r="AY82" t="s">
        <v>87</v>
      </c>
      <c r="AZ82" t="s">
        <v>88</v>
      </c>
      <c r="BA82" t="s">
        <v>89</v>
      </c>
      <c r="BB82" t="s">
        <v>200</v>
      </c>
      <c r="BC82">
        <v>20993</v>
      </c>
      <c r="BD82">
        <v>20240812</v>
      </c>
      <c r="BE82">
        <v>381.54</v>
      </c>
      <c r="BG82">
        <v>3634841980</v>
      </c>
      <c r="BH82">
        <v>20240808</v>
      </c>
      <c r="BJ82" t="s">
        <v>89</v>
      </c>
    </row>
    <row r="83" spans="1:63" ht="12.75" x14ac:dyDescent="0.2">
      <c r="A83">
        <v>14</v>
      </c>
      <c r="B83">
        <v>8</v>
      </c>
      <c r="C83">
        <v>2024</v>
      </c>
      <c r="D83">
        <v>124307</v>
      </c>
      <c r="E83">
        <v>5</v>
      </c>
      <c r="F83" t="s">
        <v>65</v>
      </c>
      <c r="G83" t="s">
        <v>66</v>
      </c>
      <c r="H83">
        <v>20550731399</v>
      </c>
      <c r="I83" t="s">
        <v>67</v>
      </c>
      <c r="J83" t="s">
        <v>68</v>
      </c>
      <c r="K83" t="s">
        <v>69</v>
      </c>
      <c r="L83" t="s">
        <v>69</v>
      </c>
      <c r="M83" t="s">
        <v>70</v>
      </c>
      <c r="N83" t="s">
        <v>71</v>
      </c>
      <c r="O83" t="s">
        <v>71</v>
      </c>
      <c r="P83" t="s">
        <v>72</v>
      </c>
      <c r="Q83" t="s">
        <v>162</v>
      </c>
      <c r="R83" t="s">
        <v>74</v>
      </c>
      <c r="S83" t="s">
        <v>74</v>
      </c>
      <c r="T83" t="s">
        <v>163</v>
      </c>
      <c r="U83">
        <v>8431109000</v>
      </c>
      <c r="V83" t="s">
        <v>442</v>
      </c>
      <c r="W83" t="s">
        <v>456</v>
      </c>
      <c r="X83" t="s">
        <v>448</v>
      </c>
      <c r="Y83" t="s">
        <v>147</v>
      </c>
      <c r="Z83" t="s">
        <v>250</v>
      </c>
      <c r="AA83" t="s">
        <v>457</v>
      </c>
      <c r="AB83" t="s">
        <v>448</v>
      </c>
      <c r="AC83" t="s">
        <v>320</v>
      </c>
      <c r="AD83">
        <v>25305</v>
      </c>
      <c r="AE83" t="s">
        <v>457</v>
      </c>
      <c r="AG83">
        <v>945.72</v>
      </c>
      <c r="AH83">
        <v>24.46</v>
      </c>
      <c r="AI83">
        <v>9.4600000000000009</v>
      </c>
      <c r="AJ83">
        <v>979.63</v>
      </c>
      <c r="AK83">
        <v>0</v>
      </c>
      <c r="AL83">
        <v>156.74</v>
      </c>
      <c r="AM83">
        <v>19.59</v>
      </c>
      <c r="AN83">
        <v>2.37</v>
      </c>
      <c r="AO83">
        <v>3.09</v>
      </c>
      <c r="AP83">
        <v>12</v>
      </c>
      <c r="AQ83" t="s">
        <v>82</v>
      </c>
      <c r="AR83">
        <v>81.635999999999996</v>
      </c>
      <c r="AS83">
        <v>12</v>
      </c>
      <c r="AT83" t="s">
        <v>107</v>
      </c>
      <c r="AU83" t="s">
        <v>84</v>
      </c>
      <c r="AV83">
        <v>0</v>
      </c>
      <c r="AW83" t="s">
        <v>85</v>
      </c>
      <c r="AX83" t="s">
        <v>446</v>
      </c>
      <c r="AY83" t="s">
        <v>87</v>
      </c>
      <c r="AZ83" t="s">
        <v>88</v>
      </c>
      <c r="BA83" t="s">
        <v>89</v>
      </c>
      <c r="BB83" t="s">
        <v>200</v>
      </c>
      <c r="BC83">
        <v>20993</v>
      </c>
      <c r="BD83">
        <v>20240812</v>
      </c>
      <c r="BE83">
        <v>78.81</v>
      </c>
      <c r="BG83">
        <v>3634841980</v>
      </c>
      <c r="BH83">
        <v>20240808</v>
      </c>
      <c r="BJ83" t="s">
        <v>89</v>
      </c>
    </row>
    <row r="84" spans="1:63" ht="12.75" x14ac:dyDescent="0.2">
      <c r="A84">
        <v>14</v>
      </c>
      <c r="B84">
        <v>8</v>
      </c>
      <c r="C84">
        <v>2024</v>
      </c>
      <c r="D84">
        <v>124307</v>
      </c>
      <c r="E84">
        <v>2</v>
      </c>
      <c r="F84" t="s">
        <v>65</v>
      </c>
      <c r="G84" t="s">
        <v>66</v>
      </c>
      <c r="H84">
        <v>20550731399</v>
      </c>
      <c r="I84" t="s">
        <v>67</v>
      </c>
      <c r="J84" t="s">
        <v>68</v>
      </c>
      <c r="K84" t="s">
        <v>69</v>
      </c>
      <c r="L84" t="s">
        <v>69</v>
      </c>
      <c r="M84" t="s">
        <v>70</v>
      </c>
      <c r="N84" t="s">
        <v>71</v>
      </c>
      <c r="O84" t="s">
        <v>71</v>
      </c>
      <c r="P84" t="s">
        <v>72</v>
      </c>
      <c r="Q84" t="s">
        <v>162</v>
      </c>
      <c r="R84" t="s">
        <v>74</v>
      </c>
      <c r="S84" t="s">
        <v>74</v>
      </c>
      <c r="T84" t="s">
        <v>163</v>
      </c>
      <c r="U84">
        <v>4016930000</v>
      </c>
      <c r="V84" t="s">
        <v>76</v>
      </c>
      <c r="W84" t="s">
        <v>458</v>
      </c>
      <c r="X84" t="s">
        <v>79</v>
      </c>
      <c r="Y84" t="s">
        <v>83</v>
      </c>
      <c r="Z84" t="s">
        <v>250</v>
      </c>
      <c r="AA84" t="s">
        <v>459</v>
      </c>
      <c r="AB84" t="s">
        <v>79</v>
      </c>
      <c r="AC84" t="s">
        <v>320</v>
      </c>
      <c r="AD84">
        <v>23126</v>
      </c>
      <c r="AE84" t="s">
        <v>459</v>
      </c>
      <c r="AG84">
        <v>936.28</v>
      </c>
      <c r="AH84">
        <v>24.21</v>
      </c>
      <c r="AI84">
        <v>16.39</v>
      </c>
      <c r="AJ84">
        <v>976.88</v>
      </c>
      <c r="AK84">
        <v>58.61</v>
      </c>
      <c r="AL84">
        <v>165.68</v>
      </c>
      <c r="AM84">
        <v>20.71</v>
      </c>
      <c r="AN84">
        <v>2.35</v>
      </c>
      <c r="AO84">
        <v>3.06</v>
      </c>
      <c r="AP84">
        <v>2</v>
      </c>
      <c r="AQ84" t="s">
        <v>82</v>
      </c>
      <c r="AR84">
        <v>488.43900000000002</v>
      </c>
      <c r="AS84">
        <v>2</v>
      </c>
      <c r="AT84" t="s">
        <v>83</v>
      </c>
      <c r="AU84" t="s">
        <v>84</v>
      </c>
      <c r="AV84">
        <v>0</v>
      </c>
      <c r="AW84" t="s">
        <v>85</v>
      </c>
      <c r="AX84" t="s">
        <v>446</v>
      </c>
      <c r="AY84" t="s">
        <v>87</v>
      </c>
      <c r="AZ84" t="s">
        <v>88</v>
      </c>
      <c r="BA84" t="s">
        <v>89</v>
      </c>
      <c r="BB84" t="s">
        <v>200</v>
      </c>
      <c r="BC84">
        <v>20993</v>
      </c>
      <c r="BD84">
        <v>20240812</v>
      </c>
      <c r="BE84">
        <v>468.14</v>
      </c>
      <c r="BG84">
        <v>3634841980</v>
      </c>
      <c r="BH84">
        <v>20240808</v>
      </c>
      <c r="BJ84" t="s">
        <v>89</v>
      </c>
    </row>
    <row r="85" spans="1:63" ht="12.75" x14ac:dyDescent="0.2">
      <c r="A85">
        <v>14</v>
      </c>
      <c r="B85">
        <v>8</v>
      </c>
      <c r="C85">
        <v>2024</v>
      </c>
      <c r="D85">
        <v>124307</v>
      </c>
      <c r="E85">
        <v>6</v>
      </c>
      <c r="F85" t="s">
        <v>65</v>
      </c>
      <c r="G85" t="s">
        <v>66</v>
      </c>
      <c r="H85">
        <v>20550731399</v>
      </c>
      <c r="I85" t="s">
        <v>67</v>
      </c>
      <c r="J85" t="s">
        <v>68</v>
      </c>
      <c r="K85" t="s">
        <v>69</v>
      </c>
      <c r="L85" t="s">
        <v>69</v>
      </c>
      <c r="M85" t="s">
        <v>70</v>
      </c>
      <c r="N85" t="s">
        <v>71</v>
      </c>
      <c r="O85" t="s">
        <v>71</v>
      </c>
      <c r="P85" t="s">
        <v>72</v>
      </c>
      <c r="Q85" t="s">
        <v>162</v>
      </c>
      <c r="R85" t="s">
        <v>74</v>
      </c>
      <c r="S85" t="s">
        <v>74</v>
      </c>
      <c r="T85" t="s">
        <v>163</v>
      </c>
      <c r="U85">
        <v>8431109000</v>
      </c>
      <c r="V85" t="s">
        <v>442</v>
      </c>
      <c r="W85" t="s">
        <v>447</v>
      </c>
      <c r="X85" t="s">
        <v>448</v>
      </c>
      <c r="Y85" t="s">
        <v>147</v>
      </c>
      <c r="Z85" t="s">
        <v>250</v>
      </c>
      <c r="AA85" t="s">
        <v>449</v>
      </c>
      <c r="AB85" t="s">
        <v>448</v>
      </c>
      <c r="AC85" t="s">
        <v>320</v>
      </c>
      <c r="AD85">
        <v>21252</v>
      </c>
      <c r="AE85" t="s">
        <v>449</v>
      </c>
      <c r="AG85">
        <v>507.26</v>
      </c>
      <c r="AH85">
        <v>13.12</v>
      </c>
      <c r="AI85">
        <v>5.07</v>
      </c>
      <c r="AJ85">
        <v>525.45000000000005</v>
      </c>
      <c r="AK85">
        <v>0</v>
      </c>
      <c r="AL85">
        <v>84.07</v>
      </c>
      <c r="AM85">
        <v>10.51</v>
      </c>
      <c r="AN85">
        <v>1.27</v>
      </c>
      <c r="AO85">
        <v>1.66</v>
      </c>
      <c r="AP85">
        <v>13</v>
      </c>
      <c r="AQ85" t="s">
        <v>82</v>
      </c>
      <c r="AR85">
        <v>40.418999999999997</v>
      </c>
      <c r="AS85">
        <v>13</v>
      </c>
      <c r="AT85" t="s">
        <v>107</v>
      </c>
      <c r="AU85" t="s">
        <v>84</v>
      </c>
      <c r="AV85">
        <v>0</v>
      </c>
      <c r="AW85" t="s">
        <v>85</v>
      </c>
      <c r="AX85" t="s">
        <v>446</v>
      </c>
      <c r="AY85" t="s">
        <v>87</v>
      </c>
      <c r="AZ85" t="s">
        <v>88</v>
      </c>
      <c r="BA85" t="s">
        <v>89</v>
      </c>
      <c r="BB85" t="s">
        <v>200</v>
      </c>
      <c r="BC85">
        <v>20993</v>
      </c>
      <c r="BD85">
        <v>20240812</v>
      </c>
      <c r="BE85">
        <v>39.020000000000003</v>
      </c>
      <c r="BG85">
        <v>3634841980</v>
      </c>
      <c r="BH85">
        <v>20240808</v>
      </c>
      <c r="BJ85" t="s">
        <v>89</v>
      </c>
    </row>
    <row r="86" spans="1:63" ht="12.75" x14ac:dyDescent="0.2">
      <c r="A86">
        <v>14</v>
      </c>
      <c r="B86">
        <v>8</v>
      </c>
      <c r="C86">
        <v>2024</v>
      </c>
      <c r="D86">
        <v>124789</v>
      </c>
      <c r="E86">
        <v>1</v>
      </c>
      <c r="F86" t="s">
        <v>65</v>
      </c>
      <c r="G86" t="s">
        <v>66</v>
      </c>
      <c r="H86">
        <v>20550731399</v>
      </c>
      <c r="I86" t="s">
        <v>67</v>
      </c>
      <c r="J86" t="s">
        <v>68</v>
      </c>
      <c r="K86" t="s">
        <v>69</v>
      </c>
      <c r="L86" t="s">
        <v>69</v>
      </c>
      <c r="M86" t="s">
        <v>70</v>
      </c>
      <c r="N86" t="s">
        <v>71</v>
      </c>
      <c r="O86" t="s">
        <v>71</v>
      </c>
      <c r="P86" t="s">
        <v>72</v>
      </c>
      <c r="Q86" t="s">
        <v>73</v>
      </c>
      <c r="R86" t="s">
        <v>117</v>
      </c>
      <c r="S86" t="s">
        <v>149</v>
      </c>
      <c r="T86" t="s">
        <v>150</v>
      </c>
      <c r="U86">
        <v>8421299000</v>
      </c>
      <c r="V86" t="s">
        <v>351</v>
      </c>
      <c r="W86" t="s">
        <v>460</v>
      </c>
      <c r="X86" t="s">
        <v>156</v>
      </c>
      <c r="Y86" t="s">
        <v>461</v>
      </c>
      <c r="Z86" t="s">
        <v>462</v>
      </c>
      <c r="AA86" t="s">
        <v>147</v>
      </c>
      <c r="AB86" t="s">
        <v>462</v>
      </c>
      <c r="AC86" t="s">
        <v>81</v>
      </c>
      <c r="AD86" t="s">
        <v>1401</v>
      </c>
      <c r="AE86" t="s">
        <v>147</v>
      </c>
      <c r="AG86">
        <v>1001.15</v>
      </c>
      <c r="AH86">
        <v>46.14</v>
      </c>
      <c r="AI86">
        <v>10.01</v>
      </c>
      <c r="AJ86">
        <v>1057.3</v>
      </c>
      <c r="AK86">
        <v>0</v>
      </c>
      <c r="AL86">
        <v>169.17</v>
      </c>
      <c r="AM86">
        <v>21.15</v>
      </c>
      <c r="AN86">
        <v>2.06</v>
      </c>
      <c r="AO86">
        <v>2.67</v>
      </c>
      <c r="AP86">
        <v>10</v>
      </c>
      <c r="AQ86" t="s">
        <v>82</v>
      </c>
      <c r="AR86">
        <v>105.73</v>
      </c>
      <c r="AS86">
        <v>10</v>
      </c>
      <c r="AT86" t="s">
        <v>107</v>
      </c>
      <c r="AU86" t="s">
        <v>84</v>
      </c>
      <c r="AV86">
        <v>1</v>
      </c>
      <c r="AW86" t="s">
        <v>85</v>
      </c>
      <c r="AY86" t="s">
        <v>87</v>
      </c>
      <c r="AZ86" t="s">
        <v>155</v>
      </c>
      <c r="BA86" t="s">
        <v>89</v>
      </c>
      <c r="BB86" t="s">
        <v>90</v>
      </c>
      <c r="BC86">
        <v>21777</v>
      </c>
      <c r="BD86">
        <v>20240815</v>
      </c>
      <c r="BE86">
        <v>100.11499999999999</v>
      </c>
      <c r="BG86">
        <v>8197964961</v>
      </c>
      <c r="BH86">
        <v>20240807</v>
      </c>
      <c r="BJ86" t="s">
        <v>89</v>
      </c>
    </row>
    <row r="87" spans="1:63" ht="12.75" x14ac:dyDescent="0.2">
      <c r="A87">
        <v>14</v>
      </c>
      <c r="B87">
        <v>8</v>
      </c>
      <c r="C87">
        <v>2024</v>
      </c>
      <c r="D87">
        <v>124789</v>
      </c>
      <c r="E87">
        <v>5</v>
      </c>
      <c r="F87" t="s">
        <v>65</v>
      </c>
      <c r="G87" t="s">
        <v>66</v>
      </c>
      <c r="H87">
        <v>20550731399</v>
      </c>
      <c r="I87" t="s">
        <v>67</v>
      </c>
      <c r="J87" t="s">
        <v>68</v>
      </c>
      <c r="K87" t="s">
        <v>69</v>
      </c>
      <c r="L87" t="s">
        <v>69</v>
      </c>
      <c r="M87" t="s">
        <v>70</v>
      </c>
      <c r="N87" t="s">
        <v>71</v>
      </c>
      <c r="O87" t="s">
        <v>71</v>
      </c>
      <c r="P87" t="s">
        <v>72</v>
      </c>
      <c r="Q87" t="s">
        <v>73</v>
      </c>
      <c r="R87" t="s">
        <v>117</v>
      </c>
      <c r="S87" t="s">
        <v>149</v>
      </c>
      <c r="T87" t="s">
        <v>150</v>
      </c>
      <c r="U87">
        <v>8421299000</v>
      </c>
      <c r="V87" t="s">
        <v>351</v>
      </c>
      <c r="W87" t="s">
        <v>463</v>
      </c>
      <c r="X87" t="s">
        <v>464</v>
      </c>
      <c r="Y87" t="s">
        <v>461</v>
      </c>
      <c r="Z87" t="s">
        <v>462</v>
      </c>
      <c r="AA87" t="s">
        <v>147</v>
      </c>
      <c r="AB87" t="s">
        <v>462</v>
      </c>
      <c r="AC87" t="s">
        <v>81</v>
      </c>
      <c r="AD87" t="s">
        <v>1402</v>
      </c>
      <c r="AE87" t="s">
        <v>147</v>
      </c>
      <c r="AG87">
        <v>322.17</v>
      </c>
      <c r="AH87">
        <v>14.85</v>
      </c>
      <c r="AI87">
        <v>3.22</v>
      </c>
      <c r="AJ87">
        <v>340.24</v>
      </c>
      <c r="AK87">
        <v>0</v>
      </c>
      <c r="AL87">
        <v>54.44</v>
      </c>
      <c r="AM87">
        <v>6.8</v>
      </c>
      <c r="AN87">
        <v>0.66</v>
      </c>
      <c r="AO87">
        <v>0.86</v>
      </c>
      <c r="AP87">
        <v>2</v>
      </c>
      <c r="AQ87" t="s">
        <v>82</v>
      </c>
      <c r="AR87">
        <v>170.119</v>
      </c>
      <c r="AS87">
        <v>2</v>
      </c>
      <c r="AT87" t="s">
        <v>107</v>
      </c>
      <c r="AU87" t="s">
        <v>84</v>
      </c>
      <c r="AV87">
        <v>0</v>
      </c>
      <c r="AW87" t="s">
        <v>85</v>
      </c>
      <c r="AY87" t="s">
        <v>87</v>
      </c>
      <c r="AZ87" t="s">
        <v>155</v>
      </c>
      <c r="BA87" t="s">
        <v>89</v>
      </c>
      <c r="BB87" t="s">
        <v>90</v>
      </c>
      <c r="BC87">
        <v>21777</v>
      </c>
      <c r="BD87">
        <v>20240815</v>
      </c>
      <c r="BE87">
        <v>161.08500000000001</v>
      </c>
      <c r="BG87">
        <v>8197964961</v>
      </c>
      <c r="BH87">
        <v>20240807</v>
      </c>
      <c r="BJ87" t="s">
        <v>89</v>
      </c>
    </row>
    <row r="88" spans="1:63" ht="12.75" x14ac:dyDescent="0.2">
      <c r="A88">
        <v>14</v>
      </c>
      <c r="B88">
        <v>8</v>
      </c>
      <c r="C88">
        <v>2024</v>
      </c>
      <c r="D88">
        <v>124789</v>
      </c>
      <c r="E88">
        <v>3</v>
      </c>
      <c r="F88" t="s">
        <v>65</v>
      </c>
      <c r="G88" t="s">
        <v>66</v>
      </c>
      <c r="H88">
        <v>20550731399</v>
      </c>
      <c r="I88" t="s">
        <v>67</v>
      </c>
      <c r="J88" t="s">
        <v>68</v>
      </c>
      <c r="K88" t="s">
        <v>69</v>
      </c>
      <c r="L88" t="s">
        <v>69</v>
      </c>
      <c r="M88" t="s">
        <v>70</v>
      </c>
      <c r="N88" t="s">
        <v>71</v>
      </c>
      <c r="O88" t="s">
        <v>71</v>
      </c>
      <c r="P88" t="s">
        <v>72</v>
      </c>
      <c r="Q88" t="s">
        <v>73</v>
      </c>
      <c r="R88" t="s">
        <v>117</v>
      </c>
      <c r="S88" t="s">
        <v>149</v>
      </c>
      <c r="T88" t="s">
        <v>150</v>
      </c>
      <c r="U88">
        <v>9025191900</v>
      </c>
      <c r="V88" t="s">
        <v>465</v>
      </c>
      <c r="W88" t="s">
        <v>466</v>
      </c>
      <c r="X88" t="s">
        <v>467</v>
      </c>
      <c r="Y88" t="s">
        <v>468</v>
      </c>
      <c r="Z88" t="s">
        <v>469</v>
      </c>
      <c r="AA88" t="s">
        <v>147</v>
      </c>
      <c r="AB88" t="s">
        <v>469</v>
      </c>
      <c r="AC88" t="s">
        <v>81</v>
      </c>
      <c r="AD88" t="s">
        <v>1403</v>
      </c>
      <c r="AE88" t="s">
        <v>147</v>
      </c>
      <c r="AG88">
        <v>491.77</v>
      </c>
      <c r="AH88">
        <v>22.66</v>
      </c>
      <c r="AI88">
        <v>9.84</v>
      </c>
      <c r="AJ88">
        <v>524.27</v>
      </c>
      <c r="AK88">
        <v>0</v>
      </c>
      <c r="AL88">
        <v>83.88</v>
      </c>
      <c r="AM88">
        <v>10.49</v>
      </c>
      <c r="AN88">
        <v>1.01</v>
      </c>
      <c r="AO88">
        <v>1.31</v>
      </c>
      <c r="AP88">
        <v>5</v>
      </c>
      <c r="AQ88" t="s">
        <v>82</v>
      </c>
      <c r="AR88">
        <v>104.854</v>
      </c>
      <c r="AS88">
        <v>5</v>
      </c>
      <c r="AT88" t="s">
        <v>107</v>
      </c>
      <c r="AU88" t="s">
        <v>84</v>
      </c>
      <c r="AV88">
        <v>0</v>
      </c>
      <c r="AW88" t="s">
        <v>85</v>
      </c>
      <c r="AY88" t="s">
        <v>87</v>
      </c>
      <c r="AZ88" t="s">
        <v>155</v>
      </c>
      <c r="BA88" t="s">
        <v>89</v>
      </c>
      <c r="BB88" t="s">
        <v>90</v>
      </c>
      <c r="BC88">
        <v>21777</v>
      </c>
      <c r="BD88">
        <v>20240815</v>
      </c>
      <c r="BE88">
        <v>98.353999999999999</v>
      </c>
      <c r="BG88">
        <v>8197964961</v>
      </c>
      <c r="BH88">
        <v>20240807</v>
      </c>
      <c r="BJ88" t="s">
        <v>89</v>
      </c>
    </row>
    <row r="89" spans="1:63" ht="12.75" x14ac:dyDescent="0.2">
      <c r="A89">
        <v>14</v>
      </c>
      <c r="B89">
        <v>8</v>
      </c>
      <c r="C89">
        <v>2024</v>
      </c>
      <c r="D89">
        <v>124789</v>
      </c>
      <c r="E89">
        <v>4</v>
      </c>
      <c r="F89" t="s">
        <v>65</v>
      </c>
      <c r="G89" t="s">
        <v>66</v>
      </c>
      <c r="H89">
        <v>20550731399</v>
      </c>
      <c r="I89" t="s">
        <v>67</v>
      </c>
      <c r="J89" t="s">
        <v>68</v>
      </c>
      <c r="K89" t="s">
        <v>69</v>
      </c>
      <c r="L89" t="s">
        <v>69</v>
      </c>
      <c r="M89" t="s">
        <v>70</v>
      </c>
      <c r="N89" t="s">
        <v>71</v>
      </c>
      <c r="O89" t="s">
        <v>71</v>
      </c>
      <c r="P89" t="s">
        <v>72</v>
      </c>
      <c r="Q89" t="s">
        <v>73</v>
      </c>
      <c r="R89" t="s">
        <v>117</v>
      </c>
      <c r="S89" t="s">
        <v>149</v>
      </c>
      <c r="T89" t="s">
        <v>150</v>
      </c>
      <c r="U89">
        <v>8421299000</v>
      </c>
      <c r="V89" t="s">
        <v>351</v>
      </c>
      <c r="W89" t="s">
        <v>460</v>
      </c>
      <c r="X89" t="s">
        <v>156</v>
      </c>
      <c r="Y89" t="s">
        <v>461</v>
      </c>
      <c r="Z89" t="s">
        <v>462</v>
      </c>
      <c r="AA89" t="s">
        <v>147</v>
      </c>
      <c r="AB89" t="s">
        <v>462</v>
      </c>
      <c r="AC89" t="s">
        <v>81</v>
      </c>
      <c r="AD89" t="s">
        <v>1401</v>
      </c>
      <c r="AE89" t="s">
        <v>147</v>
      </c>
      <c r="AG89">
        <v>1001.15</v>
      </c>
      <c r="AH89">
        <v>46.14</v>
      </c>
      <c r="AI89">
        <v>10.01</v>
      </c>
      <c r="AJ89">
        <v>1057.3</v>
      </c>
      <c r="AK89">
        <v>0</v>
      </c>
      <c r="AL89">
        <v>169.17</v>
      </c>
      <c r="AM89">
        <v>21.15</v>
      </c>
      <c r="AN89">
        <v>2.06</v>
      </c>
      <c r="AO89">
        <v>2.67</v>
      </c>
      <c r="AP89">
        <v>10</v>
      </c>
      <c r="AQ89" t="s">
        <v>82</v>
      </c>
      <c r="AR89">
        <v>105.73</v>
      </c>
      <c r="AS89">
        <v>10</v>
      </c>
      <c r="AT89" t="s">
        <v>107</v>
      </c>
      <c r="AU89" t="s">
        <v>84</v>
      </c>
      <c r="AV89">
        <v>0</v>
      </c>
      <c r="AW89" t="s">
        <v>85</v>
      </c>
      <c r="AY89" t="s">
        <v>87</v>
      </c>
      <c r="AZ89" t="s">
        <v>155</v>
      </c>
      <c r="BA89" t="s">
        <v>89</v>
      </c>
      <c r="BB89" t="s">
        <v>90</v>
      </c>
      <c r="BC89">
        <v>21777</v>
      </c>
      <c r="BD89">
        <v>20240815</v>
      </c>
      <c r="BE89">
        <v>100.11499999999999</v>
      </c>
      <c r="BG89">
        <v>8197964961</v>
      </c>
      <c r="BH89">
        <v>20240807</v>
      </c>
      <c r="BJ89" t="s">
        <v>89</v>
      </c>
    </row>
    <row r="90" spans="1:63" ht="12.75" x14ac:dyDescent="0.2">
      <c r="A90">
        <v>14</v>
      </c>
      <c r="B90">
        <v>8</v>
      </c>
      <c r="C90">
        <v>2024</v>
      </c>
      <c r="D90">
        <v>124789</v>
      </c>
      <c r="E90">
        <v>2</v>
      </c>
      <c r="F90" t="s">
        <v>65</v>
      </c>
      <c r="G90" t="s">
        <v>66</v>
      </c>
      <c r="H90">
        <v>20550731399</v>
      </c>
      <c r="I90" t="s">
        <v>67</v>
      </c>
      <c r="J90" t="s">
        <v>68</v>
      </c>
      <c r="K90" t="s">
        <v>69</v>
      </c>
      <c r="L90" t="s">
        <v>69</v>
      </c>
      <c r="M90" t="s">
        <v>70</v>
      </c>
      <c r="N90" t="s">
        <v>71</v>
      </c>
      <c r="O90" t="s">
        <v>71</v>
      </c>
      <c r="P90" t="s">
        <v>72</v>
      </c>
      <c r="Q90" t="s">
        <v>73</v>
      </c>
      <c r="R90" t="s">
        <v>117</v>
      </c>
      <c r="S90" t="s">
        <v>149</v>
      </c>
      <c r="T90" t="s">
        <v>150</v>
      </c>
      <c r="U90">
        <v>9026200000</v>
      </c>
      <c r="V90" t="s">
        <v>470</v>
      </c>
      <c r="W90" t="s">
        <v>471</v>
      </c>
      <c r="X90" t="s">
        <v>472</v>
      </c>
      <c r="Y90" t="s">
        <v>473</v>
      </c>
      <c r="Z90" t="s">
        <v>474</v>
      </c>
      <c r="AA90" t="s">
        <v>147</v>
      </c>
      <c r="AB90" t="s">
        <v>474</v>
      </c>
      <c r="AC90" t="s">
        <v>81</v>
      </c>
      <c r="AD90" t="s">
        <v>1404</v>
      </c>
      <c r="AE90" t="s">
        <v>147</v>
      </c>
      <c r="AG90">
        <v>594.03</v>
      </c>
      <c r="AH90">
        <v>27.38</v>
      </c>
      <c r="AI90">
        <v>11.88</v>
      </c>
      <c r="AJ90">
        <v>633.29</v>
      </c>
      <c r="AK90">
        <v>0</v>
      </c>
      <c r="AL90">
        <v>101.33</v>
      </c>
      <c r="AM90">
        <v>12.67</v>
      </c>
      <c r="AN90">
        <v>1.22</v>
      </c>
      <c r="AO90">
        <v>1.59</v>
      </c>
      <c r="AP90">
        <v>5</v>
      </c>
      <c r="AQ90" t="s">
        <v>82</v>
      </c>
      <c r="AR90">
        <v>126.657</v>
      </c>
      <c r="AS90">
        <v>5</v>
      </c>
      <c r="AT90" t="s">
        <v>107</v>
      </c>
      <c r="AU90" t="s">
        <v>84</v>
      </c>
      <c r="AV90">
        <v>0</v>
      </c>
      <c r="AW90" t="s">
        <v>85</v>
      </c>
      <c r="AY90" t="s">
        <v>87</v>
      </c>
      <c r="AZ90" t="s">
        <v>155</v>
      </c>
      <c r="BA90" t="s">
        <v>89</v>
      </c>
      <c r="BB90" t="s">
        <v>90</v>
      </c>
      <c r="BC90">
        <v>21777</v>
      </c>
      <c r="BD90">
        <v>20240815</v>
      </c>
      <c r="BE90">
        <v>118.806</v>
      </c>
      <c r="BG90">
        <v>8197964961</v>
      </c>
      <c r="BH90">
        <v>20240807</v>
      </c>
      <c r="BJ90" t="s">
        <v>89</v>
      </c>
    </row>
    <row r="91" spans="1:63" ht="12.75" x14ac:dyDescent="0.2">
      <c r="A91">
        <v>15</v>
      </c>
      <c r="B91">
        <v>8</v>
      </c>
      <c r="C91">
        <v>2024</v>
      </c>
      <c r="D91">
        <v>125426</v>
      </c>
      <c r="E91">
        <v>1</v>
      </c>
      <c r="F91" t="s">
        <v>65</v>
      </c>
      <c r="G91" t="s">
        <v>66</v>
      </c>
      <c r="H91">
        <v>20550731399</v>
      </c>
      <c r="I91" t="s">
        <v>67</v>
      </c>
      <c r="J91" t="s">
        <v>68</v>
      </c>
      <c r="K91" t="s">
        <v>69</v>
      </c>
      <c r="L91" t="s">
        <v>69</v>
      </c>
      <c r="M91" t="s">
        <v>70</v>
      </c>
      <c r="N91" t="s">
        <v>71</v>
      </c>
      <c r="O91" t="s">
        <v>71</v>
      </c>
      <c r="P91" t="s">
        <v>72</v>
      </c>
      <c r="Q91" t="s">
        <v>162</v>
      </c>
      <c r="R91" t="s">
        <v>228</v>
      </c>
      <c r="S91" t="s">
        <v>74</v>
      </c>
      <c r="T91" t="s">
        <v>75</v>
      </c>
      <c r="U91">
        <v>8413609000</v>
      </c>
      <c r="V91" t="s">
        <v>311</v>
      </c>
      <c r="W91" t="s">
        <v>475</v>
      </c>
      <c r="X91" t="s">
        <v>476</v>
      </c>
      <c r="Y91" t="s">
        <v>477</v>
      </c>
      <c r="Z91" t="s">
        <v>478</v>
      </c>
      <c r="AA91" t="s">
        <v>107</v>
      </c>
      <c r="AB91" t="s">
        <v>478</v>
      </c>
      <c r="AC91" t="s">
        <v>81</v>
      </c>
      <c r="AD91" t="s">
        <v>476</v>
      </c>
      <c r="AE91" t="s">
        <v>107</v>
      </c>
      <c r="AG91">
        <v>2848</v>
      </c>
      <c r="AH91">
        <v>188.58</v>
      </c>
      <c r="AI91">
        <v>28.48</v>
      </c>
      <c r="AJ91">
        <v>3065.06</v>
      </c>
      <c r="AK91">
        <v>0</v>
      </c>
      <c r="AL91">
        <v>490.41</v>
      </c>
      <c r="AM91">
        <v>61.3</v>
      </c>
      <c r="AN91">
        <v>60</v>
      </c>
      <c r="AO91">
        <v>61.69</v>
      </c>
      <c r="AP91">
        <v>2</v>
      </c>
      <c r="AQ91" t="s">
        <v>82</v>
      </c>
      <c r="AR91">
        <v>1532.53</v>
      </c>
      <c r="AS91">
        <v>2</v>
      </c>
      <c r="AT91" t="s">
        <v>107</v>
      </c>
      <c r="AU91" t="s">
        <v>84</v>
      </c>
      <c r="AV91">
        <v>1</v>
      </c>
      <c r="AW91" t="s">
        <v>85</v>
      </c>
      <c r="AX91" t="s">
        <v>235</v>
      </c>
      <c r="AY91" t="s">
        <v>87</v>
      </c>
      <c r="AZ91" t="s">
        <v>88</v>
      </c>
      <c r="BA91" t="s">
        <v>89</v>
      </c>
      <c r="BB91" t="s">
        <v>236</v>
      </c>
      <c r="BC91">
        <v>20997</v>
      </c>
      <c r="BD91">
        <v>20240816</v>
      </c>
      <c r="BE91">
        <v>1424</v>
      </c>
      <c r="BG91">
        <v>5848052685</v>
      </c>
      <c r="BH91">
        <v>20240813</v>
      </c>
      <c r="BJ91" t="s">
        <v>89</v>
      </c>
      <c r="BK91" t="s">
        <v>91</v>
      </c>
    </row>
    <row r="92" spans="1:63" ht="12.75" x14ac:dyDescent="0.2">
      <c r="A92">
        <v>22</v>
      </c>
      <c r="B92">
        <v>8</v>
      </c>
      <c r="C92">
        <v>2024</v>
      </c>
      <c r="D92">
        <v>129001</v>
      </c>
      <c r="E92">
        <v>2</v>
      </c>
      <c r="F92" t="s">
        <v>65</v>
      </c>
      <c r="G92" t="s">
        <v>66</v>
      </c>
      <c r="H92">
        <v>20550731399</v>
      </c>
      <c r="I92" t="s">
        <v>67</v>
      </c>
      <c r="J92" t="s">
        <v>68</v>
      </c>
      <c r="K92" t="s">
        <v>69</v>
      </c>
      <c r="L92" t="s">
        <v>69</v>
      </c>
      <c r="M92" t="s">
        <v>70</v>
      </c>
      <c r="N92" t="s">
        <v>71</v>
      </c>
      <c r="O92" t="s">
        <v>71</v>
      </c>
      <c r="P92" t="s">
        <v>72</v>
      </c>
      <c r="Q92" t="s">
        <v>73</v>
      </c>
      <c r="R92" t="s">
        <v>74</v>
      </c>
      <c r="S92" t="s">
        <v>74</v>
      </c>
      <c r="T92" t="s">
        <v>163</v>
      </c>
      <c r="U92">
        <v>8483500000</v>
      </c>
      <c r="V92" t="s">
        <v>328</v>
      </c>
      <c r="W92" t="s">
        <v>479</v>
      </c>
      <c r="X92" t="s">
        <v>480</v>
      </c>
      <c r="Y92" t="s">
        <v>481</v>
      </c>
      <c r="Z92" t="s">
        <v>482</v>
      </c>
      <c r="AB92" t="s">
        <v>268</v>
      </c>
      <c r="AC92" t="s">
        <v>214</v>
      </c>
      <c r="AD92">
        <v>3411</v>
      </c>
      <c r="AE92" t="s">
        <v>482</v>
      </c>
      <c r="AG92">
        <v>3520.97</v>
      </c>
      <c r="AH92">
        <v>62.69</v>
      </c>
      <c r="AI92">
        <v>35.21</v>
      </c>
      <c r="AJ92">
        <v>3618.87</v>
      </c>
      <c r="AK92">
        <v>0</v>
      </c>
      <c r="AL92">
        <v>579.02</v>
      </c>
      <c r="AM92">
        <v>72.38</v>
      </c>
      <c r="AN92">
        <v>35.03</v>
      </c>
      <c r="AO92">
        <v>36.96</v>
      </c>
      <c r="AP92">
        <v>1</v>
      </c>
      <c r="AQ92" t="s">
        <v>82</v>
      </c>
      <c r="AR92">
        <v>3618.866</v>
      </c>
      <c r="AS92">
        <v>1</v>
      </c>
      <c r="AT92" t="s">
        <v>107</v>
      </c>
      <c r="AU92" t="s">
        <v>84</v>
      </c>
      <c r="AV92">
        <v>0</v>
      </c>
      <c r="AW92" t="s">
        <v>85</v>
      </c>
      <c r="AX92" t="s">
        <v>215</v>
      </c>
      <c r="AY92" t="s">
        <v>108</v>
      </c>
      <c r="AZ92" t="s">
        <v>169</v>
      </c>
      <c r="BA92" t="s">
        <v>170</v>
      </c>
      <c r="BB92" t="s">
        <v>90</v>
      </c>
      <c r="BC92">
        <v>21109</v>
      </c>
      <c r="BD92">
        <v>20240825</v>
      </c>
      <c r="BE92">
        <v>3520.97</v>
      </c>
      <c r="BG92">
        <v>424200908</v>
      </c>
      <c r="BH92">
        <v>20240821</v>
      </c>
      <c r="BJ92" t="s">
        <v>112</v>
      </c>
      <c r="BK92" t="s">
        <v>171</v>
      </c>
    </row>
    <row r="93" spans="1:63" ht="12.75" x14ac:dyDescent="0.2">
      <c r="A93">
        <v>22</v>
      </c>
      <c r="B93">
        <v>8</v>
      </c>
      <c r="C93">
        <v>2024</v>
      </c>
      <c r="D93">
        <v>129001</v>
      </c>
      <c r="E93">
        <v>1</v>
      </c>
      <c r="F93" t="s">
        <v>65</v>
      </c>
      <c r="G93" t="s">
        <v>66</v>
      </c>
      <c r="H93">
        <v>20550731399</v>
      </c>
      <c r="I93" t="s">
        <v>67</v>
      </c>
      <c r="J93" t="s">
        <v>68</v>
      </c>
      <c r="K93" t="s">
        <v>69</v>
      </c>
      <c r="L93" t="s">
        <v>69</v>
      </c>
      <c r="M93" t="s">
        <v>70</v>
      </c>
      <c r="N93" t="s">
        <v>71</v>
      </c>
      <c r="O93" t="s">
        <v>71</v>
      </c>
      <c r="P93" t="s">
        <v>72</v>
      </c>
      <c r="Q93" t="s">
        <v>73</v>
      </c>
      <c r="R93" t="s">
        <v>74</v>
      </c>
      <c r="S93" t="s">
        <v>74</v>
      </c>
      <c r="T93" t="s">
        <v>163</v>
      </c>
      <c r="U93">
        <v>8483500000</v>
      </c>
      <c r="V93" t="s">
        <v>328</v>
      </c>
      <c r="W93" t="s">
        <v>483</v>
      </c>
      <c r="X93" t="s">
        <v>484</v>
      </c>
      <c r="Y93" t="s">
        <v>485</v>
      </c>
      <c r="Z93" t="s">
        <v>268</v>
      </c>
      <c r="AA93" t="s">
        <v>486</v>
      </c>
      <c r="AB93" t="s">
        <v>268</v>
      </c>
      <c r="AC93" t="s">
        <v>214</v>
      </c>
      <c r="AD93">
        <v>3115</v>
      </c>
      <c r="AE93" t="s">
        <v>268</v>
      </c>
      <c r="AG93">
        <v>22164.77</v>
      </c>
      <c r="AH93">
        <v>394.61</v>
      </c>
      <c r="AI93">
        <v>221.65</v>
      </c>
      <c r="AJ93">
        <v>22781.03</v>
      </c>
      <c r="AK93">
        <v>0</v>
      </c>
      <c r="AL93">
        <v>3644.96</v>
      </c>
      <c r="AM93">
        <v>455.62</v>
      </c>
      <c r="AN93">
        <v>220.52</v>
      </c>
      <c r="AO93">
        <v>232.69</v>
      </c>
      <c r="AP93">
        <v>1</v>
      </c>
      <c r="AQ93" t="s">
        <v>82</v>
      </c>
      <c r="AR93">
        <v>22781.031999999999</v>
      </c>
      <c r="AS93">
        <v>1</v>
      </c>
      <c r="AT93" t="s">
        <v>107</v>
      </c>
      <c r="AU93" t="s">
        <v>84</v>
      </c>
      <c r="AV93">
        <v>2</v>
      </c>
      <c r="AW93" t="s">
        <v>85</v>
      </c>
      <c r="AX93" t="s">
        <v>215</v>
      </c>
      <c r="AY93" t="s">
        <v>108</v>
      </c>
      <c r="AZ93" t="s">
        <v>169</v>
      </c>
      <c r="BA93" t="s">
        <v>170</v>
      </c>
      <c r="BB93" t="s">
        <v>90</v>
      </c>
      <c r="BC93">
        <v>21109</v>
      </c>
      <c r="BD93">
        <v>20240825</v>
      </c>
      <c r="BE93">
        <v>22164.77</v>
      </c>
      <c r="BG93">
        <v>424200908</v>
      </c>
      <c r="BH93">
        <v>20240821</v>
      </c>
      <c r="BJ93" t="s">
        <v>112</v>
      </c>
      <c r="BK93" t="s">
        <v>171</v>
      </c>
    </row>
    <row r="94" spans="1:63" ht="12.75" x14ac:dyDescent="0.2">
      <c r="A94">
        <v>23</v>
      </c>
      <c r="B94">
        <v>8</v>
      </c>
      <c r="C94">
        <v>2024</v>
      </c>
      <c r="D94">
        <v>129877</v>
      </c>
      <c r="E94">
        <v>5</v>
      </c>
      <c r="F94" t="s">
        <v>65</v>
      </c>
      <c r="G94" t="s">
        <v>66</v>
      </c>
      <c r="H94">
        <v>20550731399</v>
      </c>
      <c r="I94" t="s">
        <v>67</v>
      </c>
      <c r="J94" t="s">
        <v>68</v>
      </c>
      <c r="K94" t="s">
        <v>69</v>
      </c>
      <c r="L94" t="s">
        <v>69</v>
      </c>
      <c r="M94" t="s">
        <v>70</v>
      </c>
      <c r="N94" t="s">
        <v>71</v>
      </c>
      <c r="O94" t="s">
        <v>71</v>
      </c>
      <c r="P94" t="s">
        <v>72</v>
      </c>
      <c r="Q94" t="s">
        <v>73</v>
      </c>
      <c r="R94" t="s">
        <v>149</v>
      </c>
      <c r="S94" t="s">
        <v>149</v>
      </c>
      <c r="T94" t="s">
        <v>406</v>
      </c>
      <c r="U94">
        <v>4016930000</v>
      </c>
      <c r="V94" t="s">
        <v>76</v>
      </c>
      <c r="W94" t="s">
        <v>487</v>
      </c>
      <c r="X94" s="2" t="s">
        <v>1420</v>
      </c>
      <c r="Y94" t="s">
        <v>488</v>
      </c>
      <c r="Z94" t="s">
        <v>489</v>
      </c>
      <c r="AA94" t="s">
        <v>490</v>
      </c>
      <c r="AB94" t="s">
        <v>489</v>
      </c>
      <c r="AC94" t="s">
        <v>491</v>
      </c>
      <c r="AD94" t="s">
        <v>492</v>
      </c>
      <c r="AE94" t="s">
        <v>489</v>
      </c>
      <c r="AG94">
        <v>8.4499999999999993</v>
      </c>
      <c r="AH94">
        <v>0.21</v>
      </c>
      <c r="AI94">
        <v>0.15</v>
      </c>
      <c r="AJ94">
        <v>8.81</v>
      </c>
      <c r="AK94">
        <v>0.53</v>
      </c>
      <c r="AL94">
        <v>1.49</v>
      </c>
      <c r="AM94">
        <v>0.19</v>
      </c>
      <c r="AN94">
        <v>0.06</v>
      </c>
      <c r="AO94">
        <v>0.06</v>
      </c>
      <c r="AP94">
        <v>1</v>
      </c>
      <c r="AQ94" t="s">
        <v>82</v>
      </c>
      <c r="AR94">
        <v>8.8119999999999994</v>
      </c>
      <c r="AS94">
        <v>1</v>
      </c>
      <c r="AT94" t="s">
        <v>107</v>
      </c>
      <c r="AU94" t="s">
        <v>84</v>
      </c>
      <c r="AV94">
        <v>0</v>
      </c>
      <c r="AW94" t="s">
        <v>85</v>
      </c>
      <c r="AY94" t="s">
        <v>108</v>
      </c>
      <c r="AZ94" t="s">
        <v>493</v>
      </c>
      <c r="BA94" t="s">
        <v>170</v>
      </c>
      <c r="BB94" t="s">
        <v>90</v>
      </c>
      <c r="BC94">
        <v>22329</v>
      </c>
      <c r="BD94">
        <v>20240824</v>
      </c>
      <c r="BE94">
        <v>8.4499999999999993</v>
      </c>
      <c r="BF94" t="s">
        <v>494</v>
      </c>
      <c r="BG94" t="s">
        <v>495</v>
      </c>
      <c r="BH94">
        <v>20240821</v>
      </c>
      <c r="BJ94" t="s">
        <v>112</v>
      </c>
    </row>
    <row r="95" spans="1:63" ht="12.75" x14ac:dyDescent="0.2">
      <c r="A95">
        <v>23</v>
      </c>
      <c r="B95">
        <v>8</v>
      </c>
      <c r="C95">
        <v>2024</v>
      </c>
      <c r="D95">
        <v>129877</v>
      </c>
      <c r="E95">
        <v>4</v>
      </c>
      <c r="F95" t="s">
        <v>65</v>
      </c>
      <c r="G95" t="s">
        <v>66</v>
      </c>
      <c r="H95">
        <v>20550731399</v>
      </c>
      <c r="I95" t="s">
        <v>67</v>
      </c>
      <c r="J95" t="s">
        <v>68</v>
      </c>
      <c r="K95" t="s">
        <v>69</v>
      </c>
      <c r="L95" t="s">
        <v>69</v>
      </c>
      <c r="M95" t="s">
        <v>70</v>
      </c>
      <c r="N95" t="s">
        <v>71</v>
      </c>
      <c r="O95" t="s">
        <v>71</v>
      </c>
      <c r="P95" t="s">
        <v>72</v>
      </c>
      <c r="Q95" t="s">
        <v>73</v>
      </c>
      <c r="R95" t="s">
        <v>149</v>
      </c>
      <c r="S95" t="s">
        <v>149</v>
      </c>
      <c r="T95" t="s">
        <v>406</v>
      </c>
      <c r="U95">
        <v>4016930000</v>
      </c>
      <c r="V95" t="s">
        <v>76</v>
      </c>
      <c r="W95" t="s">
        <v>496</v>
      </c>
      <c r="X95" t="s">
        <v>497</v>
      </c>
      <c r="Y95" t="s">
        <v>498</v>
      </c>
      <c r="Z95" t="s">
        <v>499</v>
      </c>
      <c r="AA95" t="s">
        <v>500</v>
      </c>
      <c r="AB95" t="s">
        <v>499</v>
      </c>
      <c r="AC95" t="s">
        <v>491</v>
      </c>
      <c r="AD95" t="s">
        <v>492</v>
      </c>
      <c r="AE95" t="s">
        <v>499</v>
      </c>
      <c r="AG95">
        <v>57.61</v>
      </c>
      <c r="AH95">
        <v>1.47</v>
      </c>
      <c r="AI95">
        <v>1.01</v>
      </c>
      <c r="AJ95">
        <v>60.08</v>
      </c>
      <c r="AK95">
        <v>3.61</v>
      </c>
      <c r="AL95">
        <v>10.19</v>
      </c>
      <c r="AM95">
        <v>1.27</v>
      </c>
      <c r="AN95">
        <v>0.4</v>
      </c>
      <c r="AO95">
        <v>0.41</v>
      </c>
      <c r="AP95">
        <v>1</v>
      </c>
      <c r="AQ95" t="s">
        <v>82</v>
      </c>
      <c r="AR95">
        <v>60.082999999999998</v>
      </c>
      <c r="AS95">
        <v>1</v>
      </c>
      <c r="AT95" t="s">
        <v>107</v>
      </c>
      <c r="AU95" t="s">
        <v>84</v>
      </c>
      <c r="AV95">
        <v>0</v>
      </c>
      <c r="AW95" t="s">
        <v>85</v>
      </c>
      <c r="AY95" t="s">
        <v>108</v>
      </c>
      <c r="AZ95" t="s">
        <v>493</v>
      </c>
      <c r="BA95" t="s">
        <v>170</v>
      </c>
      <c r="BB95" t="s">
        <v>90</v>
      </c>
      <c r="BC95">
        <v>22329</v>
      </c>
      <c r="BD95">
        <v>20240824</v>
      </c>
      <c r="BE95">
        <v>57.61</v>
      </c>
      <c r="BF95" t="s">
        <v>494</v>
      </c>
      <c r="BG95" t="s">
        <v>495</v>
      </c>
      <c r="BH95">
        <v>20240821</v>
      </c>
      <c r="BJ95" t="s">
        <v>112</v>
      </c>
    </row>
    <row r="96" spans="1:63" ht="12.75" x14ac:dyDescent="0.2">
      <c r="A96">
        <v>23</v>
      </c>
      <c r="B96">
        <v>8</v>
      </c>
      <c r="C96">
        <v>2024</v>
      </c>
      <c r="D96">
        <v>129877</v>
      </c>
      <c r="E96">
        <v>9</v>
      </c>
      <c r="F96" t="s">
        <v>65</v>
      </c>
      <c r="G96" t="s">
        <v>66</v>
      </c>
      <c r="H96">
        <v>20550731399</v>
      </c>
      <c r="I96" t="s">
        <v>67</v>
      </c>
      <c r="J96" t="s">
        <v>68</v>
      </c>
      <c r="K96" t="s">
        <v>69</v>
      </c>
      <c r="L96" t="s">
        <v>69</v>
      </c>
      <c r="M96" t="s">
        <v>70</v>
      </c>
      <c r="N96" t="s">
        <v>71</v>
      </c>
      <c r="O96" t="s">
        <v>71</v>
      </c>
      <c r="P96" t="s">
        <v>72</v>
      </c>
      <c r="Q96" t="s">
        <v>73</v>
      </c>
      <c r="R96" t="s">
        <v>149</v>
      </c>
      <c r="S96" t="s">
        <v>149</v>
      </c>
      <c r="T96" t="s">
        <v>406</v>
      </c>
      <c r="U96">
        <v>4016930000</v>
      </c>
      <c r="V96" t="s">
        <v>76</v>
      </c>
      <c r="W96" t="s">
        <v>487</v>
      </c>
      <c r="X96" t="s">
        <v>501</v>
      </c>
      <c r="Y96" t="s">
        <v>502</v>
      </c>
      <c r="Z96" t="s">
        <v>489</v>
      </c>
      <c r="AA96" t="s">
        <v>503</v>
      </c>
      <c r="AB96" t="s">
        <v>489</v>
      </c>
      <c r="AC96" t="s">
        <v>491</v>
      </c>
      <c r="AD96" t="s">
        <v>492</v>
      </c>
      <c r="AE96" t="s">
        <v>489</v>
      </c>
      <c r="AG96">
        <v>7.24</v>
      </c>
      <c r="AH96">
        <v>0.18</v>
      </c>
      <c r="AI96">
        <v>0.13</v>
      </c>
      <c r="AJ96">
        <v>7.55</v>
      </c>
      <c r="AK96">
        <v>0.45</v>
      </c>
      <c r="AL96">
        <v>1.28</v>
      </c>
      <c r="AM96">
        <v>0.16</v>
      </c>
      <c r="AN96">
        <v>0.05</v>
      </c>
      <c r="AO96">
        <v>0.05</v>
      </c>
      <c r="AP96">
        <v>2</v>
      </c>
      <c r="AQ96" t="s">
        <v>82</v>
      </c>
      <c r="AR96">
        <v>3.7749999999999999</v>
      </c>
      <c r="AS96">
        <v>2</v>
      </c>
      <c r="AT96" t="s">
        <v>107</v>
      </c>
      <c r="AU96" t="s">
        <v>84</v>
      </c>
      <c r="AV96">
        <v>0</v>
      </c>
      <c r="AW96" t="s">
        <v>85</v>
      </c>
      <c r="AY96" t="s">
        <v>108</v>
      </c>
      <c r="AZ96" t="s">
        <v>493</v>
      </c>
      <c r="BA96" t="s">
        <v>170</v>
      </c>
      <c r="BB96" t="s">
        <v>90</v>
      </c>
      <c r="BC96">
        <v>22329</v>
      </c>
      <c r="BD96">
        <v>20240824</v>
      </c>
      <c r="BE96">
        <v>3.62</v>
      </c>
      <c r="BF96" t="s">
        <v>494</v>
      </c>
      <c r="BG96" t="s">
        <v>495</v>
      </c>
      <c r="BH96">
        <v>20240821</v>
      </c>
      <c r="BJ96" t="s">
        <v>112</v>
      </c>
    </row>
    <row r="97" spans="1:62" ht="12.75" x14ac:dyDescent="0.2">
      <c r="A97">
        <v>23</v>
      </c>
      <c r="B97">
        <v>8</v>
      </c>
      <c r="C97">
        <v>2024</v>
      </c>
      <c r="D97">
        <v>129877</v>
      </c>
      <c r="E97">
        <v>13</v>
      </c>
      <c r="F97" t="s">
        <v>65</v>
      </c>
      <c r="G97" t="s">
        <v>66</v>
      </c>
      <c r="H97">
        <v>20550731399</v>
      </c>
      <c r="I97" t="s">
        <v>67</v>
      </c>
      <c r="J97" t="s">
        <v>68</v>
      </c>
      <c r="K97" t="s">
        <v>69</v>
      </c>
      <c r="L97" t="s">
        <v>69</v>
      </c>
      <c r="M97" t="s">
        <v>70</v>
      </c>
      <c r="N97" t="s">
        <v>71</v>
      </c>
      <c r="O97" t="s">
        <v>71</v>
      </c>
      <c r="P97" t="s">
        <v>72</v>
      </c>
      <c r="Q97" t="s">
        <v>73</v>
      </c>
      <c r="R97" t="s">
        <v>149</v>
      </c>
      <c r="S97" t="s">
        <v>149</v>
      </c>
      <c r="T97" t="s">
        <v>406</v>
      </c>
      <c r="U97">
        <v>4016930000</v>
      </c>
      <c r="V97" t="s">
        <v>76</v>
      </c>
      <c r="W97" t="s">
        <v>504</v>
      </c>
      <c r="X97" t="s">
        <v>505</v>
      </c>
      <c r="Y97" t="s">
        <v>506</v>
      </c>
      <c r="Z97" t="s">
        <v>507</v>
      </c>
      <c r="AA97" t="s">
        <v>508</v>
      </c>
      <c r="AB97" t="s">
        <v>507</v>
      </c>
      <c r="AC97" t="s">
        <v>491</v>
      </c>
      <c r="AD97" t="s">
        <v>492</v>
      </c>
      <c r="AE97" t="s">
        <v>507</v>
      </c>
      <c r="AG97">
        <v>1.54</v>
      </c>
      <c r="AH97">
        <v>0.04</v>
      </c>
      <c r="AI97">
        <v>0.03</v>
      </c>
      <c r="AJ97">
        <v>1.61</v>
      </c>
      <c r="AK97">
        <v>0.1</v>
      </c>
      <c r="AL97">
        <v>0.27</v>
      </c>
      <c r="AM97">
        <v>0.03</v>
      </c>
      <c r="AN97">
        <v>0.01</v>
      </c>
      <c r="AO97">
        <v>0.01</v>
      </c>
      <c r="AP97">
        <v>2</v>
      </c>
      <c r="AQ97" t="s">
        <v>82</v>
      </c>
      <c r="AR97">
        <v>0.80300000000000005</v>
      </c>
      <c r="AS97">
        <v>2</v>
      </c>
      <c r="AT97" t="s">
        <v>107</v>
      </c>
      <c r="AU97" t="s">
        <v>84</v>
      </c>
      <c r="AV97">
        <v>0</v>
      </c>
      <c r="AW97" t="s">
        <v>85</v>
      </c>
      <c r="AY97" t="s">
        <v>108</v>
      </c>
      <c r="AZ97" t="s">
        <v>493</v>
      </c>
      <c r="BA97" t="s">
        <v>170</v>
      </c>
      <c r="BB97" t="s">
        <v>90</v>
      </c>
      <c r="BC97">
        <v>22329</v>
      </c>
      <c r="BD97">
        <v>20240824</v>
      </c>
      <c r="BE97">
        <v>0.77</v>
      </c>
      <c r="BF97" t="s">
        <v>494</v>
      </c>
      <c r="BG97" t="s">
        <v>495</v>
      </c>
      <c r="BH97">
        <v>20240821</v>
      </c>
      <c r="BJ97" t="s">
        <v>112</v>
      </c>
    </row>
    <row r="98" spans="1:62" ht="12.75" x14ac:dyDescent="0.2">
      <c r="A98">
        <v>23</v>
      </c>
      <c r="B98">
        <v>8</v>
      </c>
      <c r="C98">
        <v>2024</v>
      </c>
      <c r="D98">
        <v>129877</v>
      </c>
      <c r="E98">
        <v>17</v>
      </c>
      <c r="F98" t="s">
        <v>65</v>
      </c>
      <c r="G98" t="s">
        <v>66</v>
      </c>
      <c r="H98">
        <v>20550731399</v>
      </c>
      <c r="I98" t="s">
        <v>67</v>
      </c>
      <c r="J98" t="s">
        <v>68</v>
      </c>
      <c r="K98" t="s">
        <v>69</v>
      </c>
      <c r="L98" t="s">
        <v>69</v>
      </c>
      <c r="M98" t="s">
        <v>70</v>
      </c>
      <c r="N98" t="s">
        <v>71</v>
      </c>
      <c r="O98" t="s">
        <v>71</v>
      </c>
      <c r="P98" t="s">
        <v>72</v>
      </c>
      <c r="Q98" t="s">
        <v>73</v>
      </c>
      <c r="R98" t="s">
        <v>149</v>
      </c>
      <c r="S98" t="s">
        <v>149</v>
      </c>
      <c r="T98" t="s">
        <v>406</v>
      </c>
      <c r="U98">
        <v>8409999900</v>
      </c>
      <c r="V98" t="s">
        <v>509</v>
      </c>
      <c r="W98" t="s">
        <v>510</v>
      </c>
      <c r="X98" t="s">
        <v>511</v>
      </c>
      <c r="Y98" t="s">
        <v>506</v>
      </c>
      <c r="Z98" t="s">
        <v>512</v>
      </c>
      <c r="AA98" t="s">
        <v>513</v>
      </c>
      <c r="AB98" t="s">
        <v>512</v>
      </c>
      <c r="AC98" t="s">
        <v>491</v>
      </c>
      <c r="AD98" t="s">
        <v>492</v>
      </c>
      <c r="AE98" t="s">
        <v>512</v>
      </c>
      <c r="AG98">
        <v>9</v>
      </c>
      <c r="AH98">
        <v>0.23</v>
      </c>
      <c r="AI98">
        <v>0.09</v>
      </c>
      <c r="AJ98">
        <v>9.32</v>
      </c>
      <c r="AK98">
        <v>0</v>
      </c>
      <c r="AL98">
        <v>1.49</v>
      </c>
      <c r="AM98">
        <v>0.19</v>
      </c>
      <c r="AN98">
        <v>0.06</v>
      </c>
      <c r="AO98">
        <v>0.06</v>
      </c>
      <c r="AP98">
        <v>2</v>
      </c>
      <c r="AQ98" t="s">
        <v>82</v>
      </c>
      <c r="AR98">
        <v>4.6589999999999998</v>
      </c>
      <c r="AS98">
        <v>2</v>
      </c>
      <c r="AT98" t="s">
        <v>107</v>
      </c>
      <c r="AU98" t="s">
        <v>84</v>
      </c>
      <c r="AV98">
        <v>0</v>
      </c>
      <c r="AW98" t="s">
        <v>85</v>
      </c>
      <c r="AY98" t="s">
        <v>108</v>
      </c>
      <c r="AZ98" t="s">
        <v>493</v>
      </c>
      <c r="BA98" t="s">
        <v>170</v>
      </c>
      <c r="BB98" t="s">
        <v>90</v>
      </c>
      <c r="BC98">
        <v>22329</v>
      </c>
      <c r="BD98">
        <v>20240824</v>
      </c>
      <c r="BE98">
        <v>4.5</v>
      </c>
      <c r="BF98" t="s">
        <v>494</v>
      </c>
      <c r="BG98" t="s">
        <v>495</v>
      </c>
      <c r="BH98">
        <v>20240821</v>
      </c>
      <c r="BJ98" t="s">
        <v>112</v>
      </c>
    </row>
    <row r="99" spans="1:62" ht="12.75" x14ac:dyDescent="0.2">
      <c r="A99">
        <v>23</v>
      </c>
      <c r="B99">
        <v>8</v>
      </c>
      <c r="C99">
        <v>2024</v>
      </c>
      <c r="D99">
        <v>129877</v>
      </c>
      <c r="E99">
        <v>22</v>
      </c>
      <c r="F99" t="s">
        <v>65</v>
      </c>
      <c r="G99" t="s">
        <v>66</v>
      </c>
      <c r="H99">
        <v>20550731399</v>
      </c>
      <c r="I99" t="s">
        <v>67</v>
      </c>
      <c r="J99" t="s">
        <v>68</v>
      </c>
      <c r="K99" t="s">
        <v>69</v>
      </c>
      <c r="L99" t="s">
        <v>69</v>
      </c>
      <c r="M99" t="s">
        <v>70</v>
      </c>
      <c r="N99" t="s">
        <v>71</v>
      </c>
      <c r="O99" t="s">
        <v>71</v>
      </c>
      <c r="P99" t="s">
        <v>72</v>
      </c>
      <c r="Q99" t="s">
        <v>73</v>
      </c>
      <c r="R99" t="s">
        <v>149</v>
      </c>
      <c r="S99" t="s">
        <v>149</v>
      </c>
      <c r="T99" t="s">
        <v>406</v>
      </c>
      <c r="U99">
        <v>8409999900</v>
      </c>
      <c r="V99" t="s">
        <v>509</v>
      </c>
      <c r="W99" t="s">
        <v>514</v>
      </c>
      <c r="X99" t="s">
        <v>515</v>
      </c>
      <c r="Y99" t="s">
        <v>516</v>
      </c>
      <c r="Z99" t="s">
        <v>517</v>
      </c>
      <c r="AA99" t="s">
        <v>518</v>
      </c>
      <c r="AB99" t="s">
        <v>517</v>
      </c>
      <c r="AC99" t="s">
        <v>491</v>
      </c>
      <c r="AD99" t="s">
        <v>492</v>
      </c>
      <c r="AE99" t="s">
        <v>517</v>
      </c>
      <c r="AG99">
        <v>141.12</v>
      </c>
      <c r="AH99">
        <v>3.59</v>
      </c>
      <c r="AI99">
        <v>1.41</v>
      </c>
      <c r="AJ99">
        <v>146.12</v>
      </c>
      <c r="AK99">
        <v>0</v>
      </c>
      <c r="AL99">
        <v>23.38</v>
      </c>
      <c r="AM99">
        <v>2.92</v>
      </c>
      <c r="AN99">
        <v>0.97</v>
      </c>
      <c r="AO99">
        <v>1</v>
      </c>
      <c r="AP99">
        <v>1</v>
      </c>
      <c r="AQ99" t="s">
        <v>82</v>
      </c>
      <c r="AR99">
        <v>146.12200000000001</v>
      </c>
      <c r="AS99">
        <v>1</v>
      </c>
      <c r="AT99" t="s">
        <v>107</v>
      </c>
      <c r="AU99" t="s">
        <v>84</v>
      </c>
      <c r="AV99">
        <v>0</v>
      </c>
      <c r="AW99" t="s">
        <v>85</v>
      </c>
      <c r="AY99" t="s">
        <v>108</v>
      </c>
      <c r="AZ99" t="s">
        <v>493</v>
      </c>
      <c r="BA99" t="s">
        <v>170</v>
      </c>
      <c r="BB99" t="s">
        <v>90</v>
      </c>
      <c r="BC99">
        <v>22329</v>
      </c>
      <c r="BD99">
        <v>20240824</v>
      </c>
      <c r="BE99">
        <v>141.12</v>
      </c>
      <c r="BF99" t="s">
        <v>494</v>
      </c>
      <c r="BG99" t="s">
        <v>495</v>
      </c>
      <c r="BH99">
        <v>20240821</v>
      </c>
      <c r="BJ99" t="s">
        <v>112</v>
      </c>
    </row>
    <row r="100" spans="1:62" ht="12.75" x14ac:dyDescent="0.2">
      <c r="A100">
        <v>23</v>
      </c>
      <c r="B100">
        <v>8</v>
      </c>
      <c r="C100">
        <v>2024</v>
      </c>
      <c r="D100">
        <v>129877</v>
      </c>
      <c r="E100">
        <v>26</v>
      </c>
      <c r="F100" t="s">
        <v>65</v>
      </c>
      <c r="G100" t="s">
        <v>66</v>
      </c>
      <c r="H100">
        <v>20550731399</v>
      </c>
      <c r="I100" t="s">
        <v>67</v>
      </c>
      <c r="J100" t="s">
        <v>68</v>
      </c>
      <c r="K100" t="s">
        <v>69</v>
      </c>
      <c r="L100" t="s">
        <v>69</v>
      </c>
      <c r="M100" t="s">
        <v>70</v>
      </c>
      <c r="N100" t="s">
        <v>71</v>
      </c>
      <c r="O100" t="s">
        <v>71</v>
      </c>
      <c r="P100" t="s">
        <v>72</v>
      </c>
      <c r="Q100" t="s">
        <v>73</v>
      </c>
      <c r="R100" t="s">
        <v>149</v>
      </c>
      <c r="S100" t="s">
        <v>149</v>
      </c>
      <c r="T100" t="s">
        <v>406</v>
      </c>
      <c r="U100">
        <v>9026200000</v>
      </c>
      <c r="V100" t="s">
        <v>470</v>
      </c>
      <c r="W100" t="s">
        <v>519</v>
      </c>
      <c r="X100" t="s">
        <v>472</v>
      </c>
      <c r="Y100" t="s">
        <v>520</v>
      </c>
      <c r="Z100" t="s">
        <v>474</v>
      </c>
      <c r="AA100" t="s">
        <v>521</v>
      </c>
      <c r="AB100" t="s">
        <v>474</v>
      </c>
      <c r="AC100" t="s">
        <v>491</v>
      </c>
      <c r="AD100" t="s">
        <v>492</v>
      </c>
      <c r="AE100" t="s">
        <v>474</v>
      </c>
      <c r="AG100">
        <v>110.07</v>
      </c>
      <c r="AH100">
        <v>2.8</v>
      </c>
      <c r="AI100">
        <v>2.2000000000000002</v>
      </c>
      <c r="AJ100">
        <v>115.07</v>
      </c>
      <c r="AK100">
        <v>0</v>
      </c>
      <c r="AL100">
        <v>18.41</v>
      </c>
      <c r="AM100">
        <v>2.2999999999999998</v>
      </c>
      <c r="AN100">
        <v>0.76</v>
      </c>
      <c r="AO100">
        <v>0.78</v>
      </c>
      <c r="AP100">
        <v>1</v>
      </c>
      <c r="AQ100" t="s">
        <v>82</v>
      </c>
      <c r="AR100">
        <v>115.071</v>
      </c>
      <c r="AS100">
        <v>1</v>
      </c>
      <c r="AT100" t="s">
        <v>107</v>
      </c>
      <c r="AU100" t="s">
        <v>84</v>
      </c>
      <c r="AV100">
        <v>0</v>
      </c>
      <c r="AW100" t="s">
        <v>85</v>
      </c>
      <c r="AY100" t="s">
        <v>108</v>
      </c>
      <c r="AZ100" t="s">
        <v>493</v>
      </c>
      <c r="BA100" t="s">
        <v>170</v>
      </c>
      <c r="BB100" t="s">
        <v>90</v>
      </c>
      <c r="BC100">
        <v>22329</v>
      </c>
      <c r="BD100">
        <v>20240824</v>
      </c>
      <c r="BE100">
        <v>110.07</v>
      </c>
      <c r="BF100" t="s">
        <v>494</v>
      </c>
      <c r="BG100" t="s">
        <v>495</v>
      </c>
      <c r="BH100">
        <v>20240821</v>
      </c>
      <c r="BJ100" t="s">
        <v>112</v>
      </c>
    </row>
    <row r="101" spans="1:62" ht="12.75" x14ac:dyDescent="0.2">
      <c r="A101">
        <v>23</v>
      </c>
      <c r="B101">
        <v>8</v>
      </c>
      <c r="C101">
        <v>2024</v>
      </c>
      <c r="D101">
        <v>129877</v>
      </c>
      <c r="E101">
        <v>30</v>
      </c>
      <c r="F101" t="s">
        <v>65</v>
      </c>
      <c r="G101" t="s">
        <v>66</v>
      </c>
      <c r="H101">
        <v>20550731399</v>
      </c>
      <c r="I101" t="s">
        <v>67</v>
      </c>
      <c r="J101" t="s">
        <v>68</v>
      </c>
      <c r="K101" t="s">
        <v>69</v>
      </c>
      <c r="L101" t="s">
        <v>69</v>
      </c>
      <c r="M101" t="s">
        <v>70</v>
      </c>
      <c r="N101" t="s">
        <v>71</v>
      </c>
      <c r="O101" t="s">
        <v>71</v>
      </c>
      <c r="P101" t="s">
        <v>72</v>
      </c>
      <c r="Q101" t="s">
        <v>73</v>
      </c>
      <c r="R101" t="s">
        <v>149</v>
      </c>
      <c r="S101" t="s">
        <v>149</v>
      </c>
      <c r="T101" t="s">
        <v>406</v>
      </c>
      <c r="U101">
        <v>8413919000</v>
      </c>
      <c r="V101" t="s">
        <v>229</v>
      </c>
      <c r="W101" t="s">
        <v>522</v>
      </c>
      <c r="X101" t="s">
        <v>523</v>
      </c>
      <c r="Y101" t="s">
        <v>524</v>
      </c>
      <c r="Z101" t="s">
        <v>525</v>
      </c>
      <c r="AA101" t="s">
        <v>526</v>
      </c>
      <c r="AB101" t="s">
        <v>525</v>
      </c>
      <c r="AC101" t="s">
        <v>491</v>
      </c>
      <c r="AD101" t="s">
        <v>492</v>
      </c>
      <c r="AE101" t="s">
        <v>525</v>
      </c>
      <c r="AG101">
        <v>115.11</v>
      </c>
      <c r="AH101">
        <v>2.93</v>
      </c>
      <c r="AI101">
        <v>1.1499999999999999</v>
      </c>
      <c r="AJ101">
        <v>119.19</v>
      </c>
      <c r="AK101">
        <v>0</v>
      </c>
      <c r="AL101">
        <v>19.07</v>
      </c>
      <c r="AM101">
        <v>2.38</v>
      </c>
      <c r="AN101">
        <v>0.79</v>
      </c>
      <c r="AO101">
        <v>0.82</v>
      </c>
      <c r="AP101">
        <v>1</v>
      </c>
      <c r="AQ101" t="s">
        <v>82</v>
      </c>
      <c r="AR101">
        <v>119.191</v>
      </c>
      <c r="AS101">
        <v>1</v>
      </c>
      <c r="AT101" t="s">
        <v>107</v>
      </c>
      <c r="AU101" t="s">
        <v>84</v>
      </c>
      <c r="AV101">
        <v>0</v>
      </c>
      <c r="AW101" t="s">
        <v>85</v>
      </c>
      <c r="AY101" t="s">
        <v>108</v>
      </c>
      <c r="AZ101" t="s">
        <v>493</v>
      </c>
      <c r="BA101" t="s">
        <v>170</v>
      </c>
      <c r="BB101" t="s">
        <v>90</v>
      </c>
      <c r="BC101">
        <v>22329</v>
      </c>
      <c r="BD101">
        <v>20240824</v>
      </c>
      <c r="BE101">
        <v>115.11</v>
      </c>
      <c r="BF101" t="s">
        <v>494</v>
      </c>
      <c r="BG101" t="s">
        <v>495</v>
      </c>
      <c r="BH101">
        <v>20240821</v>
      </c>
      <c r="BJ101" t="s">
        <v>112</v>
      </c>
    </row>
    <row r="102" spans="1:62" ht="12.75" x14ac:dyDescent="0.2">
      <c r="A102">
        <v>23</v>
      </c>
      <c r="B102">
        <v>8</v>
      </c>
      <c r="C102">
        <v>2024</v>
      </c>
      <c r="D102">
        <v>129877</v>
      </c>
      <c r="E102">
        <v>34</v>
      </c>
      <c r="F102" t="s">
        <v>65</v>
      </c>
      <c r="G102" t="s">
        <v>66</v>
      </c>
      <c r="H102">
        <v>20550731399</v>
      </c>
      <c r="I102" t="s">
        <v>67</v>
      </c>
      <c r="J102" t="s">
        <v>68</v>
      </c>
      <c r="K102" t="s">
        <v>69</v>
      </c>
      <c r="L102" t="s">
        <v>69</v>
      </c>
      <c r="M102" t="s">
        <v>70</v>
      </c>
      <c r="N102" t="s">
        <v>71</v>
      </c>
      <c r="O102" t="s">
        <v>71</v>
      </c>
      <c r="P102" t="s">
        <v>72</v>
      </c>
      <c r="Q102" t="s">
        <v>73</v>
      </c>
      <c r="R102" t="s">
        <v>149</v>
      </c>
      <c r="S102" t="s">
        <v>149</v>
      </c>
      <c r="T102" t="s">
        <v>406</v>
      </c>
      <c r="U102">
        <v>3506990000</v>
      </c>
      <c r="V102" t="s">
        <v>527</v>
      </c>
      <c r="W102" t="s">
        <v>528</v>
      </c>
      <c r="X102">
        <v>2017955</v>
      </c>
      <c r="Y102" t="s">
        <v>524</v>
      </c>
      <c r="Z102" t="s">
        <v>529</v>
      </c>
      <c r="AB102" t="s">
        <v>529</v>
      </c>
      <c r="AC102" t="s">
        <v>491</v>
      </c>
      <c r="AD102" t="s">
        <v>492</v>
      </c>
      <c r="AE102" t="s">
        <v>529</v>
      </c>
      <c r="AG102">
        <v>280.27</v>
      </c>
      <c r="AH102">
        <v>7.13</v>
      </c>
      <c r="AI102">
        <v>4.2</v>
      </c>
      <c r="AJ102">
        <v>291.61</v>
      </c>
      <c r="AK102">
        <v>17.5</v>
      </c>
      <c r="AL102">
        <v>49.46</v>
      </c>
      <c r="AM102">
        <v>6.18</v>
      </c>
      <c r="AN102">
        <v>1.93</v>
      </c>
      <c r="AO102">
        <v>1.98</v>
      </c>
      <c r="AP102">
        <v>1.93</v>
      </c>
      <c r="AQ102" t="s">
        <v>251</v>
      </c>
      <c r="AR102">
        <v>151.09299999999999</v>
      </c>
      <c r="AS102">
        <v>2</v>
      </c>
      <c r="AT102" t="s">
        <v>107</v>
      </c>
      <c r="AU102" t="s">
        <v>84</v>
      </c>
      <c r="AV102">
        <v>0</v>
      </c>
      <c r="AW102" t="s">
        <v>85</v>
      </c>
      <c r="AY102" t="s">
        <v>108</v>
      </c>
      <c r="AZ102" t="s">
        <v>493</v>
      </c>
      <c r="BA102" t="s">
        <v>170</v>
      </c>
      <c r="BB102" t="s">
        <v>90</v>
      </c>
      <c r="BC102">
        <v>22329</v>
      </c>
      <c r="BD102">
        <v>20240824</v>
      </c>
      <c r="BE102">
        <v>145.21799999999999</v>
      </c>
      <c r="BF102" t="s">
        <v>494</v>
      </c>
      <c r="BG102" t="s">
        <v>495</v>
      </c>
      <c r="BH102">
        <v>20240821</v>
      </c>
      <c r="BJ102" t="s">
        <v>112</v>
      </c>
    </row>
    <row r="103" spans="1:62" ht="12.75" x14ac:dyDescent="0.2">
      <c r="A103">
        <v>23</v>
      </c>
      <c r="B103">
        <v>8</v>
      </c>
      <c r="C103">
        <v>2024</v>
      </c>
      <c r="D103">
        <v>129877</v>
      </c>
      <c r="E103">
        <v>37</v>
      </c>
      <c r="F103" t="s">
        <v>65</v>
      </c>
      <c r="G103" t="s">
        <v>66</v>
      </c>
      <c r="H103">
        <v>20550731399</v>
      </c>
      <c r="I103" t="s">
        <v>67</v>
      </c>
      <c r="J103" t="s">
        <v>68</v>
      </c>
      <c r="K103" t="s">
        <v>69</v>
      </c>
      <c r="L103" t="s">
        <v>69</v>
      </c>
      <c r="M103" t="s">
        <v>70</v>
      </c>
      <c r="N103" t="s">
        <v>71</v>
      </c>
      <c r="O103" t="s">
        <v>71</v>
      </c>
      <c r="P103" t="s">
        <v>72</v>
      </c>
      <c r="Q103" t="s">
        <v>73</v>
      </c>
      <c r="R103" t="s">
        <v>149</v>
      </c>
      <c r="S103" t="s">
        <v>149</v>
      </c>
      <c r="T103" t="s">
        <v>406</v>
      </c>
      <c r="U103">
        <v>8482100000</v>
      </c>
      <c r="V103" t="s">
        <v>530</v>
      </c>
      <c r="W103" t="s">
        <v>531</v>
      </c>
      <c r="X103" t="s">
        <v>532</v>
      </c>
      <c r="Y103" t="s">
        <v>533</v>
      </c>
      <c r="Z103" t="s">
        <v>534</v>
      </c>
      <c r="AA103" t="s">
        <v>535</v>
      </c>
      <c r="AB103" t="s">
        <v>534</v>
      </c>
      <c r="AC103" t="s">
        <v>491</v>
      </c>
      <c r="AD103" t="s">
        <v>492</v>
      </c>
      <c r="AE103" t="s">
        <v>534</v>
      </c>
      <c r="AG103">
        <v>641.75</v>
      </c>
      <c r="AH103">
        <v>16.329999999999998</v>
      </c>
      <c r="AI103">
        <v>9.6300000000000008</v>
      </c>
      <c r="AJ103">
        <v>667.71</v>
      </c>
      <c r="AK103">
        <v>0</v>
      </c>
      <c r="AL103">
        <v>106.83</v>
      </c>
      <c r="AM103">
        <v>13.35</v>
      </c>
      <c r="AN103">
        <v>4.42</v>
      </c>
      <c r="AO103">
        <v>4.54</v>
      </c>
      <c r="AP103">
        <v>1</v>
      </c>
      <c r="AQ103" t="s">
        <v>82</v>
      </c>
      <c r="AR103">
        <v>667.70899999999995</v>
      </c>
      <c r="AS103">
        <v>1</v>
      </c>
      <c r="AT103" t="s">
        <v>107</v>
      </c>
      <c r="AU103" t="s">
        <v>84</v>
      </c>
      <c r="AV103">
        <v>0</v>
      </c>
      <c r="AW103" t="s">
        <v>85</v>
      </c>
      <c r="AY103" t="s">
        <v>108</v>
      </c>
      <c r="AZ103" t="s">
        <v>493</v>
      </c>
      <c r="BA103" t="s">
        <v>170</v>
      </c>
      <c r="BB103" t="s">
        <v>90</v>
      </c>
      <c r="BC103">
        <v>22329</v>
      </c>
      <c r="BD103">
        <v>20240824</v>
      </c>
      <c r="BE103">
        <v>641.75</v>
      </c>
      <c r="BF103" t="s">
        <v>494</v>
      </c>
      <c r="BG103" t="s">
        <v>495</v>
      </c>
      <c r="BH103">
        <v>20240821</v>
      </c>
      <c r="BJ103" t="s">
        <v>112</v>
      </c>
    </row>
    <row r="104" spans="1:62" ht="12.75" x14ac:dyDescent="0.2">
      <c r="A104">
        <v>23</v>
      </c>
      <c r="B104">
        <v>8</v>
      </c>
      <c r="C104">
        <v>2024</v>
      </c>
      <c r="D104">
        <v>129877</v>
      </c>
      <c r="E104">
        <v>43</v>
      </c>
      <c r="F104" t="s">
        <v>65</v>
      </c>
      <c r="G104" t="s">
        <v>66</v>
      </c>
      <c r="H104">
        <v>20550731399</v>
      </c>
      <c r="I104" t="s">
        <v>67</v>
      </c>
      <c r="J104" t="s">
        <v>68</v>
      </c>
      <c r="K104" t="s">
        <v>69</v>
      </c>
      <c r="L104" t="s">
        <v>69</v>
      </c>
      <c r="M104" t="s">
        <v>70</v>
      </c>
      <c r="N104" t="s">
        <v>71</v>
      </c>
      <c r="O104" t="s">
        <v>71</v>
      </c>
      <c r="P104" t="s">
        <v>72</v>
      </c>
      <c r="Q104" t="s">
        <v>73</v>
      </c>
      <c r="R104" t="s">
        <v>149</v>
      </c>
      <c r="S104" t="s">
        <v>149</v>
      </c>
      <c r="T104" t="s">
        <v>406</v>
      </c>
      <c r="U104">
        <v>8515900000</v>
      </c>
      <c r="V104" t="s">
        <v>536</v>
      </c>
      <c r="W104" t="s">
        <v>537</v>
      </c>
      <c r="X104" t="s">
        <v>538</v>
      </c>
      <c r="Y104" t="s">
        <v>533</v>
      </c>
      <c r="Z104" t="s">
        <v>539</v>
      </c>
      <c r="AA104" t="s">
        <v>540</v>
      </c>
      <c r="AB104" t="s">
        <v>539</v>
      </c>
      <c r="AC104" t="s">
        <v>491</v>
      </c>
      <c r="AD104" t="s">
        <v>492</v>
      </c>
      <c r="AE104" t="s">
        <v>539</v>
      </c>
      <c r="AG104">
        <v>159.78</v>
      </c>
      <c r="AH104">
        <v>4.07</v>
      </c>
      <c r="AI104">
        <v>2.8</v>
      </c>
      <c r="AJ104">
        <v>166.64</v>
      </c>
      <c r="AK104">
        <v>0</v>
      </c>
      <c r="AL104">
        <v>26.66</v>
      </c>
      <c r="AM104">
        <v>3.33</v>
      </c>
      <c r="AN104">
        <v>1.1000000000000001</v>
      </c>
      <c r="AO104">
        <v>1.1299999999999999</v>
      </c>
      <c r="AP104">
        <v>2</v>
      </c>
      <c r="AQ104" t="s">
        <v>82</v>
      </c>
      <c r="AR104">
        <v>83.32</v>
      </c>
      <c r="AS104">
        <v>2</v>
      </c>
      <c r="AT104" t="s">
        <v>107</v>
      </c>
      <c r="AU104" t="s">
        <v>84</v>
      </c>
      <c r="AV104">
        <v>0</v>
      </c>
      <c r="AW104" t="s">
        <v>85</v>
      </c>
      <c r="AY104" t="s">
        <v>108</v>
      </c>
      <c r="AZ104" t="s">
        <v>493</v>
      </c>
      <c r="BA104" t="s">
        <v>170</v>
      </c>
      <c r="BB104" t="s">
        <v>90</v>
      </c>
      <c r="BC104">
        <v>22329</v>
      </c>
      <c r="BD104">
        <v>20240824</v>
      </c>
      <c r="BE104">
        <v>79.89</v>
      </c>
      <c r="BF104" t="s">
        <v>494</v>
      </c>
      <c r="BG104" t="s">
        <v>495</v>
      </c>
      <c r="BH104">
        <v>20240821</v>
      </c>
      <c r="BJ104" t="s">
        <v>112</v>
      </c>
    </row>
    <row r="105" spans="1:62" ht="12.75" x14ac:dyDescent="0.2">
      <c r="A105">
        <v>23</v>
      </c>
      <c r="B105">
        <v>8</v>
      </c>
      <c r="C105">
        <v>2024</v>
      </c>
      <c r="D105">
        <v>129877</v>
      </c>
      <c r="E105">
        <v>47</v>
      </c>
      <c r="F105" t="s">
        <v>65</v>
      </c>
      <c r="G105" t="s">
        <v>66</v>
      </c>
      <c r="H105">
        <v>20550731399</v>
      </c>
      <c r="I105" t="s">
        <v>67</v>
      </c>
      <c r="J105" t="s">
        <v>68</v>
      </c>
      <c r="K105" t="s">
        <v>69</v>
      </c>
      <c r="L105" t="s">
        <v>69</v>
      </c>
      <c r="M105" t="s">
        <v>70</v>
      </c>
      <c r="N105" t="s">
        <v>71</v>
      </c>
      <c r="O105" t="s">
        <v>71</v>
      </c>
      <c r="P105" t="s">
        <v>72</v>
      </c>
      <c r="Q105" t="s">
        <v>73</v>
      </c>
      <c r="R105" t="s">
        <v>149</v>
      </c>
      <c r="S105" t="s">
        <v>149</v>
      </c>
      <c r="T105" t="s">
        <v>406</v>
      </c>
      <c r="U105">
        <v>7318159000</v>
      </c>
      <c r="V105" t="s">
        <v>252</v>
      </c>
      <c r="W105" t="s">
        <v>541</v>
      </c>
      <c r="X105" t="s">
        <v>542</v>
      </c>
      <c r="Y105" t="s">
        <v>533</v>
      </c>
      <c r="Z105" t="s">
        <v>543</v>
      </c>
      <c r="AA105" t="s">
        <v>544</v>
      </c>
      <c r="AB105" t="s">
        <v>545</v>
      </c>
      <c r="AC105" t="s">
        <v>491</v>
      </c>
      <c r="AD105" t="s">
        <v>492</v>
      </c>
      <c r="AE105" t="s">
        <v>543</v>
      </c>
      <c r="AG105">
        <v>86.91</v>
      </c>
      <c r="AH105">
        <v>2.2200000000000002</v>
      </c>
      <c r="AI105">
        <v>2.39</v>
      </c>
      <c r="AJ105">
        <v>91.52</v>
      </c>
      <c r="AK105">
        <v>5.49</v>
      </c>
      <c r="AL105">
        <v>15.52</v>
      </c>
      <c r="AM105">
        <v>1.94</v>
      </c>
      <c r="AN105">
        <v>0.6</v>
      </c>
      <c r="AO105">
        <v>0.62</v>
      </c>
      <c r="AP105">
        <v>0.6</v>
      </c>
      <c r="AQ105" t="s">
        <v>251</v>
      </c>
      <c r="AR105">
        <v>152.52799999999999</v>
      </c>
      <c r="AS105">
        <v>36</v>
      </c>
      <c r="AT105" t="s">
        <v>107</v>
      </c>
      <c r="AU105" t="s">
        <v>84</v>
      </c>
      <c r="AV105">
        <v>0</v>
      </c>
      <c r="AW105" t="s">
        <v>85</v>
      </c>
      <c r="AY105" t="s">
        <v>108</v>
      </c>
      <c r="AZ105" t="s">
        <v>493</v>
      </c>
      <c r="BA105" t="s">
        <v>170</v>
      </c>
      <c r="BB105" t="s">
        <v>90</v>
      </c>
      <c r="BC105">
        <v>22329</v>
      </c>
      <c r="BD105">
        <v>20240824</v>
      </c>
      <c r="BE105">
        <v>144.85</v>
      </c>
      <c r="BF105" t="s">
        <v>494</v>
      </c>
      <c r="BG105" t="s">
        <v>495</v>
      </c>
      <c r="BH105">
        <v>20240821</v>
      </c>
      <c r="BJ105" t="s">
        <v>112</v>
      </c>
    </row>
    <row r="106" spans="1:62" ht="12.75" x14ac:dyDescent="0.2">
      <c r="A106">
        <v>23</v>
      </c>
      <c r="B106">
        <v>8</v>
      </c>
      <c r="C106">
        <v>2024</v>
      </c>
      <c r="D106">
        <v>129877</v>
      </c>
      <c r="E106">
        <v>52</v>
      </c>
      <c r="F106" t="s">
        <v>65</v>
      </c>
      <c r="G106" t="s">
        <v>66</v>
      </c>
      <c r="H106">
        <v>20550731399</v>
      </c>
      <c r="I106" t="s">
        <v>67</v>
      </c>
      <c r="J106" t="s">
        <v>68</v>
      </c>
      <c r="K106" t="s">
        <v>69</v>
      </c>
      <c r="L106" t="s">
        <v>69</v>
      </c>
      <c r="M106" t="s">
        <v>70</v>
      </c>
      <c r="N106" t="s">
        <v>71</v>
      </c>
      <c r="O106" t="s">
        <v>71</v>
      </c>
      <c r="P106" t="s">
        <v>72</v>
      </c>
      <c r="Q106" t="s">
        <v>73</v>
      </c>
      <c r="R106" t="s">
        <v>149</v>
      </c>
      <c r="S106" t="s">
        <v>149</v>
      </c>
      <c r="T106" t="s">
        <v>406</v>
      </c>
      <c r="U106">
        <v>4016930000</v>
      </c>
      <c r="V106" t="s">
        <v>76</v>
      </c>
      <c r="W106" t="s">
        <v>487</v>
      </c>
      <c r="X106" t="s">
        <v>546</v>
      </c>
      <c r="Y106" t="s">
        <v>533</v>
      </c>
      <c r="Z106" t="s">
        <v>489</v>
      </c>
      <c r="AA106" t="s">
        <v>547</v>
      </c>
      <c r="AB106" t="s">
        <v>489</v>
      </c>
      <c r="AC106" t="s">
        <v>491</v>
      </c>
      <c r="AD106" t="s">
        <v>492</v>
      </c>
      <c r="AE106" t="s">
        <v>489</v>
      </c>
      <c r="AG106">
        <v>30.29</v>
      </c>
      <c r="AH106">
        <v>0.77</v>
      </c>
      <c r="AI106">
        <v>0.53</v>
      </c>
      <c r="AJ106">
        <v>31.59</v>
      </c>
      <c r="AK106">
        <v>1.9</v>
      </c>
      <c r="AL106">
        <v>5.36</v>
      </c>
      <c r="AM106">
        <v>0.67</v>
      </c>
      <c r="AN106">
        <v>0.21</v>
      </c>
      <c r="AO106">
        <v>0.21</v>
      </c>
      <c r="AP106">
        <v>1</v>
      </c>
      <c r="AQ106" t="s">
        <v>82</v>
      </c>
      <c r="AR106">
        <v>31.588999999999999</v>
      </c>
      <c r="AS106">
        <v>1</v>
      </c>
      <c r="AT106" t="s">
        <v>107</v>
      </c>
      <c r="AU106" t="s">
        <v>84</v>
      </c>
      <c r="AV106">
        <v>0</v>
      </c>
      <c r="AW106" t="s">
        <v>85</v>
      </c>
      <c r="AY106" t="s">
        <v>108</v>
      </c>
      <c r="AZ106" t="s">
        <v>493</v>
      </c>
      <c r="BA106" t="s">
        <v>170</v>
      </c>
      <c r="BB106" t="s">
        <v>90</v>
      </c>
      <c r="BC106">
        <v>22329</v>
      </c>
      <c r="BD106">
        <v>20240824</v>
      </c>
      <c r="BE106">
        <v>30.29</v>
      </c>
      <c r="BF106" t="s">
        <v>494</v>
      </c>
      <c r="BG106" t="s">
        <v>495</v>
      </c>
      <c r="BH106">
        <v>20240821</v>
      </c>
      <c r="BJ106" t="s">
        <v>112</v>
      </c>
    </row>
    <row r="107" spans="1:62" ht="12.75" x14ac:dyDescent="0.2">
      <c r="A107">
        <v>23</v>
      </c>
      <c r="B107">
        <v>8</v>
      </c>
      <c r="C107">
        <v>2024</v>
      </c>
      <c r="D107">
        <v>129877</v>
      </c>
      <c r="E107">
        <v>56</v>
      </c>
      <c r="F107" t="s">
        <v>65</v>
      </c>
      <c r="G107" t="s">
        <v>66</v>
      </c>
      <c r="H107">
        <v>20550731399</v>
      </c>
      <c r="I107" t="s">
        <v>67</v>
      </c>
      <c r="J107" t="s">
        <v>68</v>
      </c>
      <c r="K107" t="s">
        <v>69</v>
      </c>
      <c r="L107" t="s">
        <v>69</v>
      </c>
      <c r="M107" t="s">
        <v>70</v>
      </c>
      <c r="N107" t="s">
        <v>71</v>
      </c>
      <c r="O107" t="s">
        <v>71</v>
      </c>
      <c r="P107" t="s">
        <v>72</v>
      </c>
      <c r="Q107" t="s">
        <v>73</v>
      </c>
      <c r="R107" t="s">
        <v>149</v>
      </c>
      <c r="S107" t="s">
        <v>149</v>
      </c>
      <c r="T107" t="s">
        <v>406</v>
      </c>
      <c r="U107">
        <v>8483309000</v>
      </c>
      <c r="V107" t="s">
        <v>548</v>
      </c>
      <c r="W107" t="s">
        <v>549</v>
      </c>
      <c r="X107" t="s">
        <v>550</v>
      </c>
      <c r="Y107" t="s">
        <v>533</v>
      </c>
      <c r="Z107" t="s">
        <v>551</v>
      </c>
      <c r="AA107" t="s">
        <v>552</v>
      </c>
      <c r="AB107" t="s">
        <v>551</v>
      </c>
      <c r="AC107" t="s">
        <v>491</v>
      </c>
      <c r="AD107" t="s">
        <v>492</v>
      </c>
      <c r="AE107" t="s">
        <v>551</v>
      </c>
      <c r="AG107">
        <v>471.43</v>
      </c>
      <c r="AH107">
        <v>12</v>
      </c>
      <c r="AI107">
        <v>4.71</v>
      </c>
      <c r="AJ107">
        <v>488.14</v>
      </c>
      <c r="AK107">
        <v>0</v>
      </c>
      <c r="AL107">
        <v>78.099999999999994</v>
      </c>
      <c r="AM107">
        <v>9.76</v>
      </c>
      <c r="AN107">
        <v>3.24</v>
      </c>
      <c r="AO107">
        <v>3.34</v>
      </c>
      <c r="AP107">
        <v>1</v>
      </c>
      <c r="AQ107" t="s">
        <v>82</v>
      </c>
      <c r="AR107">
        <v>488.142</v>
      </c>
      <c r="AS107">
        <v>1</v>
      </c>
      <c r="AT107" t="s">
        <v>107</v>
      </c>
      <c r="AU107" t="s">
        <v>84</v>
      </c>
      <c r="AV107">
        <v>0</v>
      </c>
      <c r="AW107" t="s">
        <v>85</v>
      </c>
      <c r="AY107" t="s">
        <v>108</v>
      </c>
      <c r="AZ107" t="s">
        <v>493</v>
      </c>
      <c r="BA107" t="s">
        <v>170</v>
      </c>
      <c r="BB107" t="s">
        <v>90</v>
      </c>
      <c r="BC107">
        <v>22329</v>
      </c>
      <c r="BD107">
        <v>20240824</v>
      </c>
      <c r="BE107">
        <v>471.43</v>
      </c>
      <c r="BF107" t="s">
        <v>494</v>
      </c>
      <c r="BG107" t="s">
        <v>495</v>
      </c>
      <c r="BH107">
        <v>20240821</v>
      </c>
      <c r="BJ107" t="s">
        <v>112</v>
      </c>
    </row>
    <row r="108" spans="1:62" ht="12.75" x14ac:dyDescent="0.2">
      <c r="A108">
        <v>23</v>
      </c>
      <c r="B108">
        <v>8</v>
      </c>
      <c r="C108">
        <v>2024</v>
      </c>
      <c r="D108">
        <v>129877</v>
      </c>
      <c r="E108">
        <v>60</v>
      </c>
      <c r="F108" t="s">
        <v>65</v>
      </c>
      <c r="G108" t="s">
        <v>66</v>
      </c>
      <c r="H108">
        <v>20550731399</v>
      </c>
      <c r="I108" t="s">
        <v>67</v>
      </c>
      <c r="J108" t="s">
        <v>68</v>
      </c>
      <c r="K108" t="s">
        <v>69</v>
      </c>
      <c r="L108" t="s">
        <v>69</v>
      </c>
      <c r="M108" t="s">
        <v>70</v>
      </c>
      <c r="N108" t="s">
        <v>71</v>
      </c>
      <c r="O108" t="s">
        <v>71</v>
      </c>
      <c r="P108" t="s">
        <v>72</v>
      </c>
      <c r="Q108" t="s">
        <v>73</v>
      </c>
      <c r="R108" t="s">
        <v>149</v>
      </c>
      <c r="S108" t="s">
        <v>149</v>
      </c>
      <c r="T108" t="s">
        <v>406</v>
      </c>
      <c r="U108">
        <v>8482100000</v>
      </c>
      <c r="V108" t="s">
        <v>530</v>
      </c>
      <c r="W108" t="s">
        <v>531</v>
      </c>
      <c r="X108" t="s">
        <v>553</v>
      </c>
      <c r="Y108" t="s">
        <v>554</v>
      </c>
      <c r="Z108" t="s">
        <v>534</v>
      </c>
      <c r="AA108" t="s">
        <v>555</v>
      </c>
      <c r="AB108" t="s">
        <v>534</v>
      </c>
      <c r="AC108" t="s">
        <v>491</v>
      </c>
      <c r="AD108" t="s">
        <v>492</v>
      </c>
      <c r="AE108" t="s">
        <v>534</v>
      </c>
      <c r="AG108">
        <v>1324.1</v>
      </c>
      <c r="AH108">
        <v>33.700000000000003</v>
      </c>
      <c r="AI108">
        <v>19.86</v>
      </c>
      <c r="AJ108">
        <v>1377.66</v>
      </c>
      <c r="AK108">
        <v>0</v>
      </c>
      <c r="AL108">
        <v>220.43</v>
      </c>
      <c r="AM108">
        <v>27.55</v>
      </c>
      <c r="AN108">
        <v>9.11</v>
      </c>
      <c r="AO108">
        <v>9.3699999999999992</v>
      </c>
      <c r="AP108">
        <v>2</v>
      </c>
      <c r="AQ108" t="s">
        <v>82</v>
      </c>
      <c r="AR108">
        <v>688.83</v>
      </c>
      <c r="AS108">
        <v>2</v>
      </c>
      <c r="AT108" t="s">
        <v>107</v>
      </c>
      <c r="AU108" t="s">
        <v>84</v>
      </c>
      <c r="AV108">
        <v>0</v>
      </c>
      <c r="AW108" t="s">
        <v>85</v>
      </c>
      <c r="AY108" t="s">
        <v>108</v>
      </c>
      <c r="AZ108" t="s">
        <v>493</v>
      </c>
      <c r="BA108" t="s">
        <v>170</v>
      </c>
      <c r="BB108" t="s">
        <v>90</v>
      </c>
      <c r="BC108">
        <v>22329</v>
      </c>
      <c r="BD108">
        <v>20240824</v>
      </c>
      <c r="BE108">
        <v>662.05</v>
      </c>
      <c r="BF108" t="s">
        <v>494</v>
      </c>
      <c r="BG108" t="s">
        <v>495</v>
      </c>
      <c r="BH108">
        <v>20240821</v>
      </c>
      <c r="BJ108" t="s">
        <v>112</v>
      </c>
    </row>
    <row r="109" spans="1:62" ht="12.75" x14ac:dyDescent="0.2">
      <c r="A109">
        <v>23</v>
      </c>
      <c r="B109">
        <v>8</v>
      </c>
      <c r="C109">
        <v>2024</v>
      </c>
      <c r="D109">
        <v>129877</v>
      </c>
      <c r="E109">
        <v>64</v>
      </c>
      <c r="F109" t="s">
        <v>65</v>
      </c>
      <c r="G109" t="s">
        <v>66</v>
      </c>
      <c r="H109">
        <v>20550731399</v>
      </c>
      <c r="I109" t="s">
        <v>67</v>
      </c>
      <c r="J109" t="s">
        <v>68</v>
      </c>
      <c r="K109" t="s">
        <v>69</v>
      </c>
      <c r="L109" t="s">
        <v>69</v>
      </c>
      <c r="M109" t="s">
        <v>70</v>
      </c>
      <c r="N109" t="s">
        <v>71</v>
      </c>
      <c r="O109" t="s">
        <v>71</v>
      </c>
      <c r="P109" t="s">
        <v>72</v>
      </c>
      <c r="Q109" t="s">
        <v>73</v>
      </c>
      <c r="R109" t="s">
        <v>149</v>
      </c>
      <c r="S109" t="s">
        <v>149</v>
      </c>
      <c r="T109" t="s">
        <v>406</v>
      </c>
      <c r="U109">
        <v>7318220000</v>
      </c>
      <c r="V109" t="s">
        <v>247</v>
      </c>
      <c r="W109" t="s">
        <v>556</v>
      </c>
      <c r="X109" t="s">
        <v>557</v>
      </c>
      <c r="Y109" t="s">
        <v>554</v>
      </c>
      <c r="Z109" t="s">
        <v>558</v>
      </c>
      <c r="AA109" t="s">
        <v>559</v>
      </c>
      <c r="AB109" t="s">
        <v>558</v>
      </c>
      <c r="AC109" t="s">
        <v>491</v>
      </c>
      <c r="AD109" t="s">
        <v>492</v>
      </c>
      <c r="AE109" t="s">
        <v>558</v>
      </c>
      <c r="AG109">
        <v>145.07</v>
      </c>
      <c r="AH109">
        <v>3.69</v>
      </c>
      <c r="AI109">
        <v>3.99</v>
      </c>
      <c r="AJ109">
        <v>152.75</v>
      </c>
      <c r="AK109">
        <v>9.17</v>
      </c>
      <c r="AL109">
        <v>25.91</v>
      </c>
      <c r="AM109">
        <v>3.24</v>
      </c>
      <c r="AN109">
        <v>1</v>
      </c>
      <c r="AO109">
        <v>1.03</v>
      </c>
      <c r="AP109">
        <v>1</v>
      </c>
      <c r="AQ109" t="s">
        <v>251</v>
      </c>
      <c r="AR109">
        <v>152.75200000000001</v>
      </c>
      <c r="AS109">
        <v>2</v>
      </c>
      <c r="AT109" t="s">
        <v>107</v>
      </c>
      <c r="AU109" t="s">
        <v>84</v>
      </c>
      <c r="AV109">
        <v>0</v>
      </c>
      <c r="AW109" t="s">
        <v>85</v>
      </c>
      <c r="AY109" t="s">
        <v>108</v>
      </c>
      <c r="AZ109" t="s">
        <v>493</v>
      </c>
      <c r="BA109" t="s">
        <v>170</v>
      </c>
      <c r="BB109" t="s">
        <v>90</v>
      </c>
      <c r="BC109">
        <v>22329</v>
      </c>
      <c r="BD109">
        <v>20240824</v>
      </c>
      <c r="BE109">
        <v>145.07</v>
      </c>
      <c r="BF109" t="s">
        <v>494</v>
      </c>
      <c r="BG109" t="s">
        <v>495</v>
      </c>
      <c r="BH109">
        <v>20240821</v>
      </c>
      <c r="BJ109" t="s">
        <v>112</v>
      </c>
    </row>
    <row r="110" spans="1:62" ht="12.75" x14ac:dyDescent="0.2">
      <c r="A110">
        <v>23</v>
      </c>
      <c r="B110">
        <v>8</v>
      </c>
      <c r="C110">
        <v>2024</v>
      </c>
      <c r="D110">
        <v>129877</v>
      </c>
      <c r="E110">
        <v>67</v>
      </c>
      <c r="F110" t="s">
        <v>65</v>
      </c>
      <c r="G110" t="s">
        <v>66</v>
      </c>
      <c r="H110">
        <v>20550731399</v>
      </c>
      <c r="I110" t="s">
        <v>67</v>
      </c>
      <c r="J110" t="s">
        <v>68</v>
      </c>
      <c r="K110" t="s">
        <v>69</v>
      </c>
      <c r="L110" t="s">
        <v>69</v>
      </c>
      <c r="M110" t="s">
        <v>70</v>
      </c>
      <c r="N110" t="s">
        <v>71</v>
      </c>
      <c r="O110" t="s">
        <v>71</v>
      </c>
      <c r="P110" t="s">
        <v>72</v>
      </c>
      <c r="Q110" t="s">
        <v>73</v>
      </c>
      <c r="R110" t="s">
        <v>149</v>
      </c>
      <c r="S110" t="s">
        <v>149</v>
      </c>
      <c r="T110" t="s">
        <v>406</v>
      </c>
      <c r="U110">
        <v>7325100000</v>
      </c>
      <c r="V110" t="s">
        <v>560</v>
      </c>
      <c r="W110" t="s">
        <v>561</v>
      </c>
      <c r="X110" t="s">
        <v>562</v>
      </c>
      <c r="Y110" t="s">
        <v>563</v>
      </c>
      <c r="Z110" t="s">
        <v>564</v>
      </c>
      <c r="AA110" t="s">
        <v>565</v>
      </c>
      <c r="AB110" t="s">
        <v>564</v>
      </c>
      <c r="AC110" t="s">
        <v>491</v>
      </c>
      <c r="AD110" t="s">
        <v>492</v>
      </c>
      <c r="AE110" t="s">
        <v>564</v>
      </c>
      <c r="AG110">
        <v>580.73</v>
      </c>
      <c r="AH110">
        <v>14.78</v>
      </c>
      <c r="AI110">
        <v>15.97</v>
      </c>
      <c r="AJ110">
        <v>611.48</v>
      </c>
      <c r="AK110">
        <v>0</v>
      </c>
      <c r="AL110">
        <v>97.84</v>
      </c>
      <c r="AM110">
        <v>12.23</v>
      </c>
      <c r="AN110">
        <v>4</v>
      </c>
      <c r="AO110">
        <v>4.1100000000000003</v>
      </c>
      <c r="AP110">
        <v>1</v>
      </c>
      <c r="AQ110" t="s">
        <v>82</v>
      </c>
      <c r="AR110">
        <v>611.48</v>
      </c>
      <c r="AS110">
        <v>1</v>
      </c>
      <c r="AT110" t="s">
        <v>107</v>
      </c>
      <c r="AU110" t="s">
        <v>84</v>
      </c>
      <c r="AV110">
        <v>0</v>
      </c>
      <c r="AW110" t="s">
        <v>85</v>
      </c>
      <c r="AY110" t="s">
        <v>108</v>
      </c>
      <c r="AZ110" t="s">
        <v>493</v>
      </c>
      <c r="BA110" t="s">
        <v>170</v>
      </c>
      <c r="BB110" t="s">
        <v>90</v>
      </c>
      <c r="BC110">
        <v>22329</v>
      </c>
      <c r="BD110">
        <v>20240824</v>
      </c>
      <c r="BE110">
        <v>580.73</v>
      </c>
      <c r="BF110" t="s">
        <v>494</v>
      </c>
      <c r="BG110" t="s">
        <v>495</v>
      </c>
      <c r="BH110">
        <v>20240821</v>
      </c>
      <c r="BJ110" t="s">
        <v>112</v>
      </c>
    </row>
    <row r="111" spans="1:62" ht="12.75" x14ac:dyDescent="0.2">
      <c r="A111">
        <v>23</v>
      </c>
      <c r="B111">
        <v>8</v>
      </c>
      <c r="C111">
        <v>2024</v>
      </c>
      <c r="D111">
        <v>129877</v>
      </c>
      <c r="E111">
        <v>72</v>
      </c>
      <c r="F111" t="s">
        <v>65</v>
      </c>
      <c r="G111" t="s">
        <v>66</v>
      </c>
      <c r="H111">
        <v>20550731399</v>
      </c>
      <c r="I111" t="s">
        <v>67</v>
      </c>
      <c r="J111" t="s">
        <v>68</v>
      </c>
      <c r="K111" t="s">
        <v>69</v>
      </c>
      <c r="L111" t="s">
        <v>69</v>
      </c>
      <c r="M111" t="s">
        <v>70</v>
      </c>
      <c r="N111" t="s">
        <v>71</v>
      </c>
      <c r="O111" t="s">
        <v>71</v>
      </c>
      <c r="P111" t="s">
        <v>72</v>
      </c>
      <c r="Q111" t="s">
        <v>73</v>
      </c>
      <c r="R111" t="s">
        <v>149</v>
      </c>
      <c r="S111" t="s">
        <v>149</v>
      </c>
      <c r="T111" t="s">
        <v>406</v>
      </c>
      <c r="U111">
        <v>8482100000</v>
      </c>
      <c r="V111" t="s">
        <v>530</v>
      </c>
      <c r="W111" t="s">
        <v>531</v>
      </c>
      <c r="X111" t="s">
        <v>566</v>
      </c>
      <c r="Y111" t="s">
        <v>567</v>
      </c>
      <c r="Z111" t="s">
        <v>534</v>
      </c>
      <c r="AA111" t="s">
        <v>568</v>
      </c>
      <c r="AB111" t="s">
        <v>534</v>
      </c>
      <c r="AC111" t="s">
        <v>491</v>
      </c>
      <c r="AD111" t="s">
        <v>492</v>
      </c>
      <c r="AE111" t="s">
        <v>534</v>
      </c>
      <c r="AG111">
        <v>806.13</v>
      </c>
      <c r="AH111">
        <v>20.51</v>
      </c>
      <c r="AI111">
        <v>12.09</v>
      </c>
      <c r="AJ111">
        <v>838.74</v>
      </c>
      <c r="AK111">
        <v>0</v>
      </c>
      <c r="AL111">
        <v>134.19999999999999</v>
      </c>
      <c r="AM111">
        <v>16.77</v>
      </c>
      <c r="AN111">
        <v>5.55</v>
      </c>
      <c r="AO111">
        <v>5.71</v>
      </c>
      <c r="AP111">
        <v>1</v>
      </c>
      <c r="AQ111" t="s">
        <v>82</v>
      </c>
      <c r="AR111">
        <v>838.73599999999999</v>
      </c>
      <c r="AS111">
        <v>1</v>
      </c>
      <c r="AT111" t="s">
        <v>107</v>
      </c>
      <c r="AU111" t="s">
        <v>84</v>
      </c>
      <c r="AV111">
        <v>0</v>
      </c>
      <c r="AW111" t="s">
        <v>85</v>
      </c>
      <c r="AY111" t="s">
        <v>108</v>
      </c>
      <c r="AZ111" t="s">
        <v>493</v>
      </c>
      <c r="BA111" t="s">
        <v>170</v>
      </c>
      <c r="BB111" t="s">
        <v>90</v>
      </c>
      <c r="BC111">
        <v>22329</v>
      </c>
      <c r="BD111">
        <v>20240824</v>
      </c>
      <c r="BE111">
        <v>806.13</v>
      </c>
      <c r="BF111" t="s">
        <v>494</v>
      </c>
      <c r="BG111" t="s">
        <v>495</v>
      </c>
      <c r="BH111">
        <v>20240821</v>
      </c>
      <c r="BJ111" t="s">
        <v>112</v>
      </c>
    </row>
    <row r="112" spans="1:62" ht="12.75" x14ac:dyDescent="0.2">
      <c r="A112">
        <v>23</v>
      </c>
      <c r="B112">
        <v>8</v>
      </c>
      <c r="C112">
        <v>2024</v>
      </c>
      <c r="D112">
        <v>129877</v>
      </c>
      <c r="E112">
        <v>76</v>
      </c>
      <c r="F112" t="s">
        <v>65</v>
      </c>
      <c r="G112" t="s">
        <v>66</v>
      </c>
      <c r="H112">
        <v>20550731399</v>
      </c>
      <c r="I112" t="s">
        <v>67</v>
      </c>
      <c r="J112" t="s">
        <v>68</v>
      </c>
      <c r="K112" t="s">
        <v>69</v>
      </c>
      <c r="L112" t="s">
        <v>69</v>
      </c>
      <c r="M112" t="s">
        <v>70</v>
      </c>
      <c r="N112" t="s">
        <v>71</v>
      </c>
      <c r="O112" t="s">
        <v>71</v>
      </c>
      <c r="P112" t="s">
        <v>72</v>
      </c>
      <c r="Q112" t="s">
        <v>73</v>
      </c>
      <c r="R112" t="s">
        <v>149</v>
      </c>
      <c r="S112" t="s">
        <v>149</v>
      </c>
      <c r="T112" t="s">
        <v>406</v>
      </c>
      <c r="U112">
        <v>7318240000</v>
      </c>
      <c r="V112" t="s">
        <v>569</v>
      </c>
      <c r="W112" t="s">
        <v>570</v>
      </c>
      <c r="X112" t="s">
        <v>571</v>
      </c>
      <c r="Y112" t="s">
        <v>567</v>
      </c>
      <c r="Z112" t="s">
        <v>572</v>
      </c>
      <c r="AA112" t="s">
        <v>573</v>
      </c>
      <c r="AB112" t="s">
        <v>572</v>
      </c>
      <c r="AC112" t="s">
        <v>491</v>
      </c>
      <c r="AD112" t="s">
        <v>492</v>
      </c>
      <c r="AE112" t="s">
        <v>572</v>
      </c>
      <c r="AG112">
        <v>0.88</v>
      </c>
      <c r="AH112">
        <v>0.02</v>
      </c>
      <c r="AI112">
        <v>0.02</v>
      </c>
      <c r="AJ112">
        <v>0.92</v>
      </c>
      <c r="AK112">
        <v>0.06</v>
      </c>
      <c r="AL112">
        <v>0.16</v>
      </c>
      <c r="AM112">
        <v>0.02</v>
      </c>
      <c r="AN112">
        <v>0.01</v>
      </c>
      <c r="AO112">
        <v>0.01</v>
      </c>
      <c r="AP112">
        <v>0.01</v>
      </c>
      <c r="AQ112" t="s">
        <v>251</v>
      </c>
      <c r="AR112">
        <v>92.5</v>
      </c>
      <c r="AS112">
        <v>1</v>
      </c>
      <c r="AT112" t="s">
        <v>107</v>
      </c>
      <c r="AU112" t="s">
        <v>84</v>
      </c>
      <c r="AV112">
        <v>0</v>
      </c>
      <c r="AW112" t="s">
        <v>85</v>
      </c>
      <c r="AY112" t="s">
        <v>108</v>
      </c>
      <c r="AZ112" t="s">
        <v>493</v>
      </c>
      <c r="BA112" t="s">
        <v>170</v>
      </c>
      <c r="BB112" t="s">
        <v>90</v>
      </c>
      <c r="BC112">
        <v>22329</v>
      </c>
      <c r="BD112">
        <v>20240824</v>
      </c>
      <c r="BE112">
        <v>88</v>
      </c>
      <c r="BF112" t="s">
        <v>494</v>
      </c>
      <c r="BG112" t="s">
        <v>495</v>
      </c>
      <c r="BH112">
        <v>20240821</v>
      </c>
      <c r="BJ112" t="s">
        <v>112</v>
      </c>
    </row>
    <row r="113" spans="1:62" ht="12.75" x14ac:dyDescent="0.2">
      <c r="A113">
        <v>23</v>
      </c>
      <c r="B113">
        <v>8</v>
      </c>
      <c r="C113">
        <v>2024</v>
      </c>
      <c r="D113">
        <v>129877</v>
      </c>
      <c r="E113">
        <v>1</v>
      </c>
      <c r="F113" t="s">
        <v>65</v>
      </c>
      <c r="G113" t="s">
        <v>66</v>
      </c>
      <c r="H113">
        <v>20550731399</v>
      </c>
      <c r="I113" t="s">
        <v>67</v>
      </c>
      <c r="J113" t="s">
        <v>68</v>
      </c>
      <c r="K113" t="s">
        <v>69</v>
      </c>
      <c r="L113" t="s">
        <v>69</v>
      </c>
      <c r="M113" t="s">
        <v>70</v>
      </c>
      <c r="N113" t="s">
        <v>71</v>
      </c>
      <c r="O113" t="s">
        <v>71</v>
      </c>
      <c r="P113" t="s">
        <v>72</v>
      </c>
      <c r="Q113" t="s">
        <v>73</v>
      </c>
      <c r="R113" t="s">
        <v>149</v>
      </c>
      <c r="S113" t="s">
        <v>149</v>
      </c>
      <c r="T113" t="s">
        <v>406</v>
      </c>
      <c r="U113">
        <v>4016930000</v>
      </c>
      <c r="V113" t="s">
        <v>76</v>
      </c>
      <c r="W113" t="s">
        <v>496</v>
      </c>
      <c r="X113" t="s">
        <v>574</v>
      </c>
      <c r="Y113" t="s">
        <v>575</v>
      </c>
      <c r="Z113" t="s">
        <v>499</v>
      </c>
      <c r="AA113" t="s">
        <v>576</v>
      </c>
      <c r="AB113" t="s">
        <v>499</v>
      </c>
      <c r="AC113" t="s">
        <v>491</v>
      </c>
      <c r="AD113" t="s">
        <v>492</v>
      </c>
      <c r="AE113" t="s">
        <v>499</v>
      </c>
      <c r="AG113">
        <v>367.62</v>
      </c>
      <c r="AH113">
        <v>9.36</v>
      </c>
      <c r="AI113">
        <v>6.43</v>
      </c>
      <c r="AJ113">
        <v>383.41</v>
      </c>
      <c r="AK113">
        <v>23</v>
      </c>
      <c r="AL113">
        <v>65.03</v>
      </c>
      <c r="AM113">
        <v>8.1300000000000008</v>
      </c>
      <c r="AN113">
        <v>2.5299999999999998</v>
      </c>
      <c r="AO113">
        <v>2.6</v>
      </c>
      <c r="AP113">
        <v>1</v>
      </c>
      <c r="AQ113" t="s">
        <v>82</v>
      </c>
      <c r="AR113">
        <v>383.40899999999999</v>
      </c>
      <c r="AS113">
        <v>1</v>
      </c>
      <c r="AT113" t="s">
        <v>107</v>
      </c>
      <c r="AU113" t="s">
        <v>84</v>
      </c>
      <c r="AV113">
        <v>1</v>
      </c>
      <c r="AW113" t="s">
        <v>85</v>
      </c>
      <c r="AY113" t="s">
        <v>108</v>
      </c>
      <c r="AZ113" t="s">
        <v>493</v>
      </c>
      <c r="BA113" t="s">
        <v>170</v>
      </c>
      <c r="BB113" t="s">
        <v>90</v>
      </c>
      <c r="BC113">
        <v>22329</v>
      </c>
      <c r="BD113">
        <v>20240824</v>
      </c>
      <c r="BE113">
        <v>367.62</v>
      </c>
      <c r="BF113" t="s">
        <v>494</v>
      </c>
      <c r="BG113" t="s">
        <v>495</v>
      </c>
      <c r="BH113">
        <v>20240821</v>
      </c>
      <c r="BJ113" t="s">
        <v>112</v>
      </c>
    </row>
    <row r="114" spans="1:62" ht="12.75" x14ac:dyDescent="0.2">
      <c r="A114">
        <v>23</v>
      </c>
      <c r="B114">
        <v>8</v>
      </c>
      <c r="C114">
        <v>2024</v>
      </c>
      <c r="D114">
        <v>129877</v>
      </c>
      <c r="E114">
        <v>6</v>
      </c>
      <c r="F114" t="s">
        <v>65</v>
      </c>
      <c r="G114" t="s">
        <v>66</v>
      </c>
      <c r="H114">
        <v>20550731399</v>
      </c>
      <c r="I114" t="s">
        <v>67</v>
      </c>
      <c r="J114" t="s">
        <v>68</v>
      </c>
      <c r="K114" t="s">
        <v>69</v>
      </c>
      <c r="L114" t="s">
        <v>69</v>
      </c>
      <c r="M114" t="s">
        <v>70</v>
      </c>
      <c r="N114" t="s">
        <v>71</v>
      </c>
      <c r="O114" t="s">
        <v>71</v>
      </c>
      <c r="P114" t="s">
        <v>72</v>
      </c>
      <c r="Q114" t="s">
        <v>73</v>
      </c>
      <c r="R114" t="s">
        <v>149</v>
      </c>
      <c r="S114" t="s">
        <v>149</v>
      </c>
      <c r="T114" t="s">
        <v>406</v>
      </c>
      <c r="U114">
        <v>4016930000</v>
      </c>
      <c r="V114" t="s">
        <v>76</v>
      </c>
      <c r="W114" t="s">
        <v>487</v>
      </c>
      <c r="X114" t="s">
        <v>577</v>
      </c>
      <c r="Y114" t="s">
        <v>488</v>
      </c>
      <c r="Z114" t="s">
        <v>489</v>
      </c>
      <c r="AA114" t="s">
        <v>578</v>
      </c>
      <c r="AB114" t="s">
        <v>489</v>
      </c>
      <c r="AC114" t="s">
        <v>491</v>
      </c>
      <c r="AD114" t="s">
        <v>492</v>
      </c>
      <c r="AE114" t="s">
        <v>489</v>
      </c>
      <c r="AG114">
        <v>9.11</v>
      </c>
      <c r="AH114">
        <v>0.23</v>
      </c>
      <c r="AI114">
        <v>0.16</v>
      </c>
      <c r="AJ114">
        <v>9.5</v>
      </c>
      <c r="AK114">
        <v>0.56999999999999995</v>
      </c>
      <c r="AL114">
        <v>1.61</v>
      </c>
      <c r="AM114">
        <v>0.2</v>
      </c>
      <c r="AN114">
        <v>0.06</v>
      </c>
      <c r="AO114">
        <v>7.0000000000000007E-2</v>
      </c>
      <c r="AP114">
        <v>1</v>
      </c>
      <c r="AQ114" t="s">
        <v>82</v>
      </c>
      <c r="AR114">
        <v>9.5009999999999994</v>
      </c>
      <c r="AS114">
        <v>1</v>
      </c>
      <c r="AT114" t="s">
        <v>107</v>
      </c>
      <c r="AU114" t="s">
        <v>84</v>
      </c>
      <c r="AV114">
        <v>0</v>
      </c>
      <c r="AW114" t="s">
        <v>85</v>
      </c>
      <c r="AY114" t="s">
        <v>108</v>
      </c>
      <c r="AZ114" t="s">
        <v>493</v>
      </c>
      <c r="BA114" t="s">
        <v>170</v>
      </c>
      <c r="BB114" t="s">
        <v>90</v>
      </c>
      <c r="BC114">
        <v>22329</v>
      </c>
      <c r="BD114">
        <v>20240824</v>
      </c>
      <c r="BE114">
        <v>9.11</v>
      </c>
      <c r="BF114" t="s">
        <v>494</v>
      </c>
      <c r="BG114" t="s">
        <v>495</v>
      </c>
      <c r="BH114">
        <v>20240821</v>
      </c>
      <c r="BJ114" t="s">
        <v>112</v>
      </c>
    </row>
    <row r="115" spans="1:62" ht="12.75" x14ac:dyDescent="0.2">
      <c r="A115">
        <v>23</v>
      </c>
      <c r="B115">
        <v>8</v>
      </c>
      <c r="C115">
        <v>2024</v>
      </c>
      <c r="D115">
        <v>129877</v>
      </c>
      <c r="E115">
        <v>10</v>
      </c>
      <c r="F115" t="s">
        <v>65</v>
      </c>
      <c r="G115" t="s">
        <v>66</v>
      </c>
      <c r="H115">
        <v>20550731399</v>
      </c>
      <c r="I115" t="s">
        <v>67</v>
      </c>
      <c r="J115" t="s">
        <v>68</v>
      </c>
      <c r="K115" t="s">
        <v>69</v>
      </c>
      <c r="L115" t="s">
        <v>69</v>
      </c>
      <c r="M115" t="s">
        <v>70</v>
      </c>
      <c r="N115" t="s">
        <v>71</v>
      </c>
      <c r="O115" t="s">
        <v>71</v>
      </c>
      <c r="P115" t="s">
        <v>72</v>
      </c>
      <c r="Q115" t="s">
        <v>73</v>
      </c>
      <c r="R115" t="s">
        <v>149</v>
      </c>
      <c r="S115" t="s">
        <v>149</v>
      </c>
      <c r="T115" t="s">
        <v>406</v>
      </c>
      <c r="U115">
        <v>4016930000</v>
      </c>
      <c r="V115" t="s">
        <v>76</v>
      </c>
      <c r="W115" t="s">
        <v>487</v>
      </c>
      <c r="X115" t="s">
        <v>579</v>
      </c>
      <c r="Y115" t="s">
        <v>502</v>
      </c>
      <c r="Z115" t="s">
        <v>489</v>
      </c>
      <c r="AA115" t="s">
        <v>580</v>
      </c>
      <c r="AB115" t="s">
        <v>489</v>
      </c>
      <c r="AC115" t="s">
        <v>491</v>
      </c>
      <c r="AD115" t="s">
        <v>492</v>
      </c>
      <c r="AE115" t="s">
        <v>489</v>
      </c>
      <c r="AG115">
        <v>10.31</v>
      </c>
      <c r="AH115">
        <v>0.26</v>
      </c>
      <c r="AI115">
        <v>0.18</v>
      </c>
      <c r="AJ115">
        <v>10.76</v>
      </c>
      <c r="AK115">
        <v>0.65</v>
      </c>
      <c r="AL115">
        <v>1.83</v>
      </c>
      <c r="AM115">
        <v>0.23</v>
      </c>
      <c r="AN115">
        <v>7.0000000000000007E-2</v>
      </c>
      <c r="AO115">
        <v>7.0000000000000007E-2</v>
      </c>
      <c r="AP115">
        <v>2</v>
      </c>
      <c r="AQ115" t="s">
        <v>82</v>
      </c>
      <c r="AR115">
        <v>5.3780000000000001</v>
      </c>
      <c r="AS115">
        <v>2</v>
      </c>
      <c r="AT115" t="s">
        <v>107</v>
      </c>
      <c r="AU115" t="s">
        <v>84</v>
      </c>
      <c r="AV115">
        <v>0</v>
      </c>
      <c r="AW115" t="s">
        <v>85</v>
      </c>
      <c r="AY115" t="s">
        <v>108</v>
      </c>
      <c r="AZ115" t="s">
        <v>493</v>
      </c>
      <c r="BA115" t="s">
        <v>170</v>
      </c>
      <c r="BB115" t="s">
        <v>90</v>
      </c>
      <c r="BC115">
        <v>22329</v>
      </c>
      <c r="BD115">
        <v>20240824</v>
      </c>
      <c r="BE115">
        <v>5.1550000000000002</v>
      </c>
      <c r="BF115" t="s">
        <v>494</v>
      </c>
      <c r="BG115" t="s">
        <v>495</v>
      </c>
      <c r="BH115">
        <v>20240821</v>
      </c>
      <c r="BJ115" t="s">
        <v>112</v>
      </c>
    </row>
    <row r="116" spans="1:62" ht="12.75" x14ac:dyDescent="0.2">
      <c r="A116">
        <v>23</v>
      </c>
      <c r="B116">
        <v>8</v>
      </c>
      <c r="C116">
        <v>2024</v>
      </c>
      <c r="D116">
        <v>129877</v>
      </c>
      <c r="E116">
        <v>14</v>
      </c>
      <c r="F116" t="s">
        <v>65</v>
      </c>
      <c r="G116" t="s">
        <v>66</v>
      </c>
      <c r="H116">
        <v>20550731399</v>
      </c>
      <c r="I116" t="s">
        <v>67</v>
      </c>
      <c r="J116" t="s">
        <v>68</v>
      </c>
      <c r="K116" t="s">
        <v>69</v>
      </c>
      <c r="L116" t="s">
        <v>69</v>
      </c>
      <c r="M116" t="s">
        <v>70</v>
      </c>
      <c r="N116" t="s">
        <v>71</v>
      </c>
      <c r="O116" t="s">
        <v>71</v>
      </c>
      <c r="P116" t="s">
        <v>72</v>
      </c>
      <c r="Q116" t="s">
        <v>73</v>
      </c>
      <c r="R116" t="s">
        <v>149</v>
      </c>
      <c r="S116" t="s">
        <v>149</v>
      </c>
      <c r="T116" t="s">
        <v>406</v>
      </c>
      <c r="U116">
        <v>7318159000</v>
      </c>
      <c r="V116" t="s">
        <v>252</v>
      </c>
      <c r="W116" t="s">
        <v>581</v>
      </c>
      <c r="X116" t="s">
        <v>582</v>
      </c>
      <c r="Y116" t="s">
        <v>506</v>
      </c>
      <c r="Z116" t="s">
        <v>583</v>
      </c>
      <c r="AA116" t="s">
        <v>584</v>
      </c>
      <c r="AB116" t="s">
        <v>583</v>
      </c>
      <c r="AC116" t="s">
        <v>491</v>
      </c>
      <c r="AD116" t="s">
        <v>492</v>
      </c>
      <c r="AE116" t="s">
        <v>583</v>
      </c>
      <c r="AG116">
        <v>112.59</v>
      </c>
      <c r="AH116">
        <v>2.87</v>
      </c>
      <c r="AI116">
        <v>3.1</v>
      </c>
      <c r="AJ116">
        <v>118.55</v>
      </c>
      <c r="AK116">
        <v>7.11</v>
      </c>
      <c r="AL116">
        <v>20.11</v>
      </c>
      <c r="AM116">
        <v>2.5099999999999998</v>
      </c>
      <c r="AN116">
        <v>0.78</v>
      </c>
      <c r="AO116">
        <v>0.8</v>
      </c>
      <c r="AP116">
        <v>0.78</v>
      </c>
      <c r="AQ116" t="s">
        <v>251</v>
      </c>
      <c r="AR116">
        <v>151.99100000000001</v>
      </c>
      <c r="AS116">
        <v>2</v>
      </c>
      <c r="AT116" t="s">
        <v>107</v>
      </c>
      <c r="AU116" t="s">
        <v>84</v>
      </c>
      <c r="AV116">
        <v>0</v>
      </c>
      <c r="AW116" t="s">
        <v>85</v>
      </c>
      <c r="AY116" t="s">
        <v>108</v>
      </c>
      <c r="AZ116" t="s">
        <v>493</v>
      </c>
      <c r="BA116" t="s">
        <v>170</v>
      </c>
      <c r="BB116" t="s">
        <v>90</v>
      </c>
      <c r="BC116">
        <v>22329</v>
      </c>
      <c r="BD116">
        <v>20240824</v>
      </c>
      <c r="BE116">
        <v>144.346</v>
      </c>
      <c r="BF116" t="s">
        <v>494</v>
      </c>
      <c r="BG116" t="s">
        <v>495</v>
      </c>
      <c r="BH116">
        <v>20240821</v>
      </c>
      <c r="BJ116" t="s">
        <v>112</v>
      </c>
    </row>
    <row r="117" spans="1:62" ht="12.75" x14ac:dyDescent="0.2">
      <c r="A117">
        <v>23</v>
      </c>
      <c r="B117">
        <v>8</v>
      </c>
      <c r="C117">
        <v>2024</v>
      </c>
      <c r="D117">
        <v>129877</v>
      </c>
      <c r="E117">
        <v>18</v>
      </c>
      <c r="F117" t="s">
        <v>65</v>
      </c>
      <c r="G117" t="s">
        <v>66</v>
      </c>
      <c r="H117">
        <v>20550731399</v>
      </c>
      <c r="I117" t="s">
        <v>67</v>
      </c>
      <c r="J117" t="s">
        <v>68</v>
      </c>
      <c r="K117" t="s">
        <v>69</v>
      </c>
      <c r="L117" t="s">
        <v>69</v>
      </c>
      <c r="M117" t="s">
        <v>70</v>
      </c>
      <c r="N117" t="s">
        <v>71</v>
      </c>
      <c r="O117" t="s">
        <v>71</v>
      </c>
      <c r="P117" t="s">
        <v>72</v>
      </c>
      <c r="Q117" t="s">
        <v>73</v>
      </c>
      <c r="R117" t="s">
        <v>149</v>
      </c>
      <c r="S117" t="s">
        <v>149</v>
      </c>
      <c r="T117" t="s">
        <v>406</v>
      </c>
      <c r="U117">
        <v>8409999900</v>
      </c>
      <c r="V117" t="s">
        <v>509</v>
      </c>
      <c r="W117" t="s">
        <v>585</v>
      </c>
      <c r="X117" t="s">
        <v>586</v>
      </c>
      <c r="Y117" t="s">
        <v>506</v>
      </c>
      <c r="Z117" t="s">
        <v>587</v>
      </c>
      <c r="AA117" t="s">
        <v>588</v>
      </c>
      <c r="AB117" t="s">
        <v>587</v>
      </c>
      <c r="AC117" t="s">
        <v>491</v>
      </c>
      <c r="AD117" t="s">
        <v>492</v>
      </c>
      <c r="AE117" t="s">
        <v>587</v>
      </c>
      <c r="AG117">
        <v>115.66</v>
      </c>
      <c r="AH117">
        <v>2.94</v>
      </c>
      <c r="AI117">
        <v>1.1599999999999999</v>
      </c>
      <c r="AJ117">
        <v>119.76</v>
      </c>
      <c r="AK117">
        <v>0</v>
      </c>
      <c r="AL117">
        <v>19.16</v>
      </c>
      <c r="AM117">
        <v>2.4</v>
      </c>
      <c r="AN117">
        <v>0.8</v>
      </c>
      <c r="AO117">
        <v>0.82</v>
      </c>
      <c r="AP117">
        <v>2</v>
      </c>
      <c r="AQ117" t="s">
        <v>82</v>
      </c>
      <c r="AR117">
        <v>59.88</v>
      </c>
      <c r="AS117">
        <v>2</v>
      </c>
      <c r="AT117" t="s">
        <v>107</v>
      </c>
      <c r="AU117" t="s">
        <v>84</v>
      </c>
      <c r="AV117">
        <v>0</v>
      </c>
      <c r="AW117" t="s">
        <v>85</v>
      </c>
      <c r="AY117" t="s">
        <v>108</v>
      </c>
      <c r="AZ117" t="s">
        <v>493</v>
      </c>
      <c r="BA117" t="s">
        <v>170</v>
      </c>
      <c r="BB117" t="s">
        <v>90</v>
      </c>
      <c r="BC117">
        <v>22329</v>
      </c>
      <c r="BD117">
        <v>20240824</v>
      </c>
      <c r="BE117">
        <v>57.83</v>
      </c>
      <c r="BF117" t="s">
        <v>494</v>
      </c>
      <c r="BG117" t="s">
        <v>495</v>
      </c>
      <c r="BH117">
        <v>20240821</v>
      </c>
      <c r="BJ117" t="s">
        <v>112</v>
      </c>
    </row>
    <row r="118" spans="1:62" ht="12.75" x14ac:dyDescent="0.2">
      <c r="A118">
        <v>23</v>
      </c>
      <c r="B118">
        <v>8</v>
      </c>
      <c r="C118">
        <v>2024</v>
      </c>
      <c r="D118">
        <v>129877</v>
      </c>
      <c r="E118">
        <v>23</v>
      </c>
      <c r="F118" t="s">
        <v>65</v>
      </c>
      <c r="G118" t="s">
        <v>66</v>
      </c>
      <c r="H118">
        <v>20550731399</v>
      </c>
      <c r="I118" t="s">
        <v>67</v>
      </c>
      <c r="J118" t="s">
        <v>68</v>
      </c>
      <c r="K118" t="s">
        <v>69</v>
      </c>
      <c r="L118" t="s">
        <v>69</v>
      </c>
      <c r="M118" t="s">
        <v>70</v>
      </c>
      <c r="N118" t="s">
        <v>71</v>
      </c>
      <c r="O118" t="s">
        <v>71</v>
      </c>
      <c r="P118" t="s">
        <v>72</v>
      </c>
      <c r="Q118" t="s">
        <v>73</v>
      </c>
      <c r="R118" t="s">
        <v>149</v>
      </c>
      <c r="S118" t="s">
        <v>149</v>
      </c>
      <c r="T118" t="s">
        <v>406</v>
      </c>
      <c r="U118">
        <v>4016930000</v>
      </c>
      <c r="V118" t="s">
        <v>76</v>
      </c>
      <c r="W118" t="s">
        <v>487</v>
      </c>
      <c r="X118" t="s">
        <v>589</v>
      </c>
      <c r="Y118" t="s">
        <v>516</v>
      </c>
      <c r="Z118" t="s">
        <v>489</v>
      </c>
      <c r="AA118" t="s">
        <v>590</v>
      </c>
      <c r="AB118" t="s">
        <v>489</v>
      </c>
      <c r="AC118" t="s">
        <v>491</v>
      </c>
      <c r="AD118" t="s">
        <v>492</v>
      </c>
      <c r="AE118" t="s">
        <v>489</v>
      </c>
      <c r="AG118">
        <v>34.68</v>
      </c>
      <c r="AH118">
        <v>0.88</v>
      </c>
      <c r="AI118">
        <v>0.61</v>
      </c>
      <c r="AJ118">
        <v>36.17</v>
      </c>
      <c r="AK118">
        <v>2.17</v>
      </c>
      <c r="AL118">
        <v>6.13</v>
      </c>
      <c r="AM118">
        <v>0.77</v>
      </c>
      <c r="AN118">
        <v>0.24</v>
      </c>
      <c r="AO118">
        <v>0.25</v>
      </c>
      <c r="AP118">
        <v>1</v>
      </c>
      <c r="AQ118" t="s">
        <v>82</v>
      </c>
      <c r="AR118">
        <v>36.168999999999997</v>
      </c>
      <c r="AS118">
        <v>1</v>
      </c>
      <c r="AT118" t="s">
        <v>107</v>
      </c>
      <c r="AU118" t="s">
        <v>84</v>
      </c>
      <c r="AV118">
        <v>0</v>
      </c>
      <c r="AW118" t="s">
        <v>85</v>
      </c>
      <c r="AY118" t="s">
        <v>108</v>
      </c>
      <c r="AZ118" t="s">
        <v>493</v>
      </c>
      <c r="BA118" t="s">
        <v>170</v>
      </c>
      <c r="BB118" t="s">
        <v>90</v>
      </c>
      <c r="BC118">
        <v>22329</v>
      </c>
      <c r="BD118">
        <v>20240824</v>
      </c>
      <c r="BE118">
        <v>34.68</v>
      </c>
      <c r="BF118" t="s">
        <v>494</v>
      </c>
      <c r="BG118" t="s">
        <v>495</v>
      </c>
      <c r="BH118">
        <v>20240821</v>
      </c>
      <c r="BJ118" t="s">
        <v>112</v>
      </c>
    </row>
    <row r="119" spans="1:62" ht="12.75" x14ac:dyDescent="0.2">
      <c r="A119">
        <v>23</v>
      </c>
      <c r="B119">
        <v>8</v>
      </c>
      <c r="C119">
        <v>2024</v>
      </c>
      <c r="D119">
        <v>129877</v>
      </c>
      <c r="E119">
        <v>27</v>
      </c>
      <c r="F119" t="s">
        <v>65</v>
      </c>
      <c r="G119" t="s">
        <v>66</v>
      </c>
      <c r="H119">
        <v>20550731399</v>
      </c>
      <c r="I119" t="s">
        <v>67</v>
      </c>
      <c r="J119" t="s">
        <v>68</v>
      </c>
      <c r="K119" t="s">
        <v>69</v>
      </c>
      <c r="L119" t="s">
        <v>69</v>
      </c>
      <c r="M119" t="s">
        <v>70</v>
      </c>
      <c r="N119" t="s">
        <v>71</v>
      </c>
      <c r="O119" t="s">
        <v>71</v>
      </c>
      <c r="P119" t="s">
        <v>72</v>
      </c>
      <c r="Q119" t="s">
        <v>73</v>
      </c>
      <c r="R119" t="s">
        <v>149</v>
      </c>
      <c r="S119" t="s">
        <v>149</v>
      </c>
      <c r="T119" t="s">
        <v>406</v>
      </c>
      <c r="U119">
        <v>9026809000</v>
      </c>
      <c r="V119" t="s">
        <v>591</v>
      </c>
      <c r="W119" t="s">
        <v>592</v>
      </c>
      <c r="X119" t="s">
        <v>593</v>
      </c>
      <c r="Y119" t="s">
        <v>520</v>
      </c>
      <c r="Z119" t="s">
        <v>594</v>
      </c>
      <c r="AA119" t="s">
        <v>595</v>
      </c>
      <c r="AB119" t="s">
        <v>594</v>
      </c>
      <c r="AC119" t="s">
        <v>491</v>
      </c>
      <c r="AD119" t="s">
        <v>492</v>
      </c>
      <c r="AE119" t="s">
        <v>594</v>
      </c>
      <c r="AG119">
        <v>643.05999999999995</v>
      </c>
      <c r="AH119">
        <v>16.36</v>
      </c>
      <c r="AI119">
        <v>12.86</v>
      </c>
      <c r="AJ119">
        <v>672.29</v>
      </c>
      <c r="AK119">
        <v>0</v>
      </c>
      <c r="AL119">
        <v>107.57</v>
      </c>
      <c r="AM119">
        <v>13.45</v>
      </c>
      <c r="AN119">
        <v>4.42</v>
      </c>
      <c r="AO119">
        <v>4.55</v>
      </c>
      <c r="AP119">
        <v>2</v>
      </c>
      <c r="AQ119" t="s">
        <v>82</v>
      </c>
      <c r="AR119">
        <v>336.14299999999997</v>
      </c>
      <c r="AS119">
        <v>2</v>
      </c>
      <c r="AT119" t="s">
        <v>107</v>
      </c>
      <c r="AU119" t="s">
        <v>84</v>
      </c>
      <c r="AV119">
        <v>0</v>
      </c>
      <c r="AW119" t="s">
        <v>85</v>
      </c>
      <c r="AY119" t="s">
        <v>108</v>
      </c>
      <c r="AZ119" t="s">
        <v>493</v>
      </c>
      <c r="BA119" t="s">
        <v>170</v>
      </c>
      <c r="BB119" t="s">
        <v>90</v>
      </c>
      <c r="BC119">
        <v>22329</v>
      </c>
      <c r="BD119">
        <v>20240824</v>
      </c>
      <c r="BE119">
        <v>321.52999999999997</v>
      </c>
      <c r="BF119" t="s">
        <v>494</v>
      </c>
      <c r="BG119" t="s">
        <v>495</v>
      </c>
      <c r="BH119">
        <v>20240821</v>
      </c>
      <c r="BJ119" t="s">
        <v>112</v>
      </c>
    </row>
    <row r="120" spans="1:62" ht="12.75" x14ac:dyDescent="0.2">
      <c r="A120">
        <v>23</v>
      </c>
      <c r="B120">
        <v>8</v>
      </c>
      <c r="C120">
        <v>2024</v>
      </c>
      <c r="D120">
        <v>129877</v>
      </c>
      <c r="E120">
        <v>31</v>
      </c>
      <c r="F120" t="s">
        <v>65</v>
      </c>
      <c r="G120" t="s">
        <v>66</v>
      </c>
      <c r="H120">
        <v>20550731399</v>
      </c>
      <c r="I120" t="s">
        <v>67</v>
      </c>
      <c r="J120" t="s">
        <v>68</v>
      </c>
      <c r="K120" t="s">
        <v>69</v>
      </c>
      <c r="L120" t="s">
        <v>69</v>
      </c>
      <c r="M120" t="s">
        <v>70</v>
      </c>
      <c r="N120" t="s">
        <v>71</v>
      </c>
      <c r="O120" t="s">
        <v>71</v>
      </c>
      <c r="P120" t="s">
        <v>72</v>
      </c>
      <c r="Q120" t="s">
        <v>73</v>
      </c>
      <c r="R120" t="s">
        <v>149</v>
      </c>
      <c r="S120" t="s">
        <v>149</v>
      </c>
      <c r="T120" t="s">
        <v>406</v>
      </c>
      <c r="U120">
        <v>4016930000</v>
      </c>
      <c r="V120" t="s">
        <v>76</v>
      </c>
      <c r="W120" t="s">
        <v>596</v>
      </c>
      <c r="X120" t="s">
        <v>597</v>
      </c>
      <c r="Y120" t="s">
        <v>524</v>
      </c>
      <c r="Z120" t="s">
        <v>598</v>
      </c>
      <c r="AA120" t="s">
        <v>599</v>
      </c>
      <c r="AB120" t="s">
        <v>598</v>
      </c>
      <c r="AC120" t="s">
        <v>491</v>
      </c>
      <c r="AD120" t="s">
        <v>492</v>
      </c>
      <c r="AE120" t="s">
        <v>598</v>
      </c>
      <c r="AG120">
        <v>21.73</v>
      </c>
      <c r="AH120">
        <v>0.55000000000000004</v>
      </c>
      <c r="AI120">
        <v>0.38</v>
      </c>
      <c r="AJ120">
        <v>22.66</v>
      </c>
      <c r="AK120">
        <v>1.36</v>
      </c>
      <c r="AL120">
        <v>3.84</v>
      </c>
      <c r="AM120">
        <v>0.48</v>
      </c>
      <c r="AN120">
        <v>0.15</v>
      </c>
      <c r="AO120">
        <v>0.15</v>
      </c>
      <c r="AP120">
        <v>1</v>
      </c>
      <c r="AQ120" t="s">
        <v>82</v>
      </c>
      <c r="AR120">
        <v>22.661999999999999</v>
      </c>
      <c r="AS120">
        <v>1</v>
      </c>
      <c r="AT120" t="s">
        <v>107</v>
      </c>
      <c r="AU120" t="s">
        <v>84</v>
      </c>
      <c r="AV120">
        <v>0</v>
      </c>
      <c r="AW120" t="s">
        <v>85</v>
      </c>
      <c r="AY120" t="s">
        <v>108</v>
      </c>
      <c r="AZ120" t="s">
        <v>493</v>
      </c>
      <c r="BA120" t="s">
        <v>170</v>
      </c>
      <c r="BB120" t="s">
        <v>90</v>
      </c>
      <c r="BC120">
        <v>22329</v>
      </c>
      <c r="BD120">
        <v>20240824</v>
      </c>
      <c r="BE120">
        <v>21.73</v>
      </c>
      <c r="BF120" t="s">
        <v>494</v>
      </c>
      <c r="BG120" t="s">
        <v>495</v>
      </c>
      <c r="BH120">
        <v>20240821</v>
      </c>
      <c r="BJ120" t="s">
        <v>112</v>
      </c>
    </row>
    <row r="121" spans="1:62" ht="12.75" x14ac:dyDescent="0.2">
      <c r="A121">
        <v>23</v>
      </c>
      <c r="B121">
        <v>8</v>
      </c>
      <c r="C121">
        <v>2024</v>
      </c>
      <c r="D121">
        <v>129877</v>
      </c>
      <c r="E121">
        <v>35</v>
      </c>
      <c r="F121" t="s">
        <v>65</v>
      </c>
      <c r="G121" t="s">
        <v>66</v>
      </c>
      <c r="H121">
        <v>20550731399</v>
      </c>
      <c r="I121" t="s">
        <v>67</v>
      </c>
      <c r="J121" t="s">
        <v>68</v>
      </c>
      <c r="K121" t="s">
        <v>69</v>
      </c>
      <c r="L121" t="s">
        <v>69</v>
      </c>
      <c r="M121" t="s">
        <v>70</v>
      </c>
      <c r="N121" t="s">
        <v>71</v>
      </c>
      <c r="O121" t="s">
        <v>71</v>
      </c>
      <c r="P121" t="s">
        <v>72</v>
      </c>
      <c r="Q121" t="s">
        <v>73</v>
      </c>
      <c r="R121" t="s">
        <v>149</v>
      </c>
      <c r="S121" t="s">
        <v>149</v>
      </c>
      <c r="T121" t="s">
        <v>406</v>
      </c>
      <c r="U121">
        <v>8466940000</v>
      </c>
      <c r="V121" t="s">
        <v>600</v>
      </c>
      <c r="W121" t="s">
        <v>601</v>
      </c>
      <c r="X121" t="s">
        <v>602</v>
      </c>
      <c r="Y121" t="s">
        <v>533</v>
      </c>
      <c r="Z121" t="s">
        <v>603</v>
      </c>
      <c r="AA121" t="s">
        <v>604</v>
      </c>
      <c r="AB121" t="s">
        <v>603</v>
      </c>
      <c r="AC121" t="s">
        <v>491</v>
      </c>
      <c r="AD121" t="s">
        <v>492</v>
      </c>
      <c r="AE121" t="s">
        <v>603</v>
      </c>
      <c r="AG121">
        <v>68.7</v>
      </c>
      <c r="AH121">
        <v>1.75</v>
      </c>
      <c r="AI121">
        <v>1.03</v>
      </c>
      <c r="AJ121">
        <v>71.48</v>
      </c>
      <c r="AK121">
        <v>0</v>
      </c>
      <c r="AL121">
        <v>11.44</v>
      </c>
      <c r="AM121">
        <v>1.43</v>
      </c>
      <c r="AN121">
        <v>0.47</v>
      </c>
      <c r="AO121">
        <v>0.49</v>
      </c>
      <c r="AP121">
        <v>1</v>
      </c>
      <c r="AQ121" t="s">
        <v>82</v>
      </c>
      <c r="AR121">
        <v>71.48</v>
      </c>
      <c r="AS121">
        <v>1</v>
      </c>
      <c r="AT121" t="s">
        <v>107</v>
      </c>
      <c r="AU121" t="s">
        <v>84</v>
      </c>
      <c r="AV121">
        <v>0</v>
      </c>
      <c r="AW121" t="s">
        <v>85</v>
      </c>
      <c r="AY121" t="s">
        <v>108</v>
      </c>
      <c r="AZ121" t="s">
        <v>493</v>
      </c>
      <c r="BA121" t="s">
        <v>170</v>
      </c>
      <c r="BB121" t="s">
        <v>90</v>
      </c>
      <c r="BC121">
        <v>22329</v>
      </c>
      <c r="BD121">
        <v>20240824</v>
      </c>
      <c r="BE121">
        <v>68.7</v>
      </c>
      <c r="BF121" t="s">
        <v>494</v>
      </c>
      <c r="BG121" t="s">
        <v>495</v>
      </c>
      <c r="BH121">
        <v>20240821</v>
      </c>
      <c r="BJ121" t="s">
        <v>112</v>
      </c>
    </row>
    <row r="122" spans="1:62" ht="12.75" x14ac:dyDescent="0.2">
      <c r="A122">
        <v>23</v>
      </c>
      <c r="B122">
        <v>8</v>
      </c>
      <c r="C122">
        <v>2024</v>
      </c>
      <c r="D122">
        <v>129877</v>
      </c>
      <c r="E122">
        <v>38</v>
      </c>
      <c r="F122" t="s">
        <v>65</v>
      </c>
      <c r="G122" t="s">
        <v>66</v>
      </c>
      <c r="H122">
        <v>20550731399</v>
      </c>
      <c r="I122" t="s">
        <v>67</v>
      </c>
      <c r="J122" t="s">
        <v>68</v>
      </c>
      <c r="K122" t="s">
        <v>69</v>
      </c>
      <c r="L122" t="s">
        <v>69</v>
      </c>
      <c r="M122" t="s">
        <v>70</v>
      </c>
      <c r="N122" t="s">
        <v>71</v>
      </c>
      <c r="O122" t="s">
        <v>71</v>
      </c>
      <c r="P122" t="s">
        <v>72</v>
      </c>
      <c r="Q122" t="s">
        <v>73</v>
      </c>
      <c r="R122" t="s">
        <v>149</v>
      </c>
      <c r="S122" t="s">
        <v>149</v>
      </c>
      <c r="T122" t="s">
        <v>406</v>
      </c>
      <c r="U122">
        <v>8482100000</v>
      </c>
      <c r="V122" t="s">
        <v>530</v>
      </c>
      <c r="W122" t="s">
        <v>531</v>
      </c>
      <c r="X122" t="s">
        <v>605</v>
      </c>
      <c r="Y122" t="s">
        <v>533</v>
      </c>
      <c r="Z122" t="s">
        <v>534</v>
      </c>
      <c r="AA122" t="s">
        <v>606</v>
      </c>
      <c r="AB122" t="s">
        <v>534</v>
      </c>
      <c r="AC122" t="s">
        <v>491</v>
      </c>
      <c r="AD122" t="s">
        <v>492</v>
      </c>
      <c r="AE122" t="s">
        <v>534</v>
      </c>
      <c r="AG122">
        <v>1368.21</v>
      </c>
      <c r="AH122">
        <v>34.82</v>
      </c>
      <c r="AI122">
        <v>20.52</v>
      </c>
      <c r="AJ122">
        <v>1423.55</v>
      </c>
      <c r="AK122">
        <v>0</v>
      </c>
      <c r="AL122">
        <v>227.77</v>
      </c>
      <c r="AM122">
        <v>28.47</v>
      </c>
      <c r="AN122">
        <v>9.41</v>
      </c>
      <c r="AO122">
        <v>9.69</v>
      </c>
      <c r="AP122">
        <v>2</v>
      </c>
      <c r="AQ122" t="s">
        <v>82</v>
      </c>
      <c r="AR122">
        <v>711.77700000000004</v>
      </c>
      <c r="AS122">
        <v>2</v>
      </c>
      <c r="AT122" t="s">
        <v>107</v>
      </c>
      <c r="AU122" t="s">
        <v>84</v>
      </c>
      <c r="AV122">
        <v>0</v>
      </c>
      <c r="AW122" t="s">
        <v>85</v>
      </c>
      <c r="AY122" t="s">
        <v>108</v>
      </c>
      <c r="AZ122" t="s">
        <v>493</v>
      </c>
      <c r="BA122" t="s">
        <v>170</v>
      </c>
      <c r="BB122" t="s">
        <v>90</v>
      </c>
      <c r="BC122">
        <v>22329</v>
      </c>
      <c r="BD122">
        <v>20240824</v>
      </c>
      <c r="BE122">
        <v>684.10500000000002</v>
      </c>
      <c r="BF122" t="s">
        <v>494</v>
      </c>
      <c r="BG122" t="s">
        <v>495</v>
      </c>
      <c r="BH122">
        <v>20240821</v>
      </c>
      <c r="BJ122" t="s">
        <v>112</v>
      </c>
    </row>
    <row r="123" spans="1:62" ht="12.75" x14ac:dyDescent="0.2">
      <c r="A123">
        <v>23</v>
      </c>
      <c r="B123">
        <v>8</v>
      </c>
      <c r="C123">
        <v>2024</v>
      </c>
      <c r="D123">
        <v>129877</v>
      </c>
      <c r="E123">
        <v>44</v>
      </c>
      <c r="F123" t="s">
        <v>65</v>
      </c>
      <c r="G123" t="s">
        <v>66</v>
      </c>
      <c r="H123">
        <v>20550731399</v>
      </c>
      <c r="I123" t="s">
        <v>67</v>
      </c>
      <c r="J123" t="s">
        <v>68</v>
      </c>
      <c r="K123" t="s">
        <v>69</v>
      </c>
      <c r="L123" t="s">
        <v>69</v>
      </c>
      <c r="M123" t="s">
        <v>70</v>
      </c>
      <c r="N123" t="s">
        <v>71</v>
      </c>
      <c r="O123" t="s">
        <v>71</v>
      </c>
      <c r="P123" t="s">
        <v>72</v>
      </c>
      <c r="Q123" t="s">
        <v>73</v>
      </c>
      <c r="R123" t="s">
        <v>149</v>
      </c>
      <c r="S123" t="s">
        <v>149</v>
      </c>
      <c r="T123" t="s">
        <v>406</v>
      </c>
      <c r="U123">
        <v>7217900000</v>
      </c>
      <c r="V123" t="s">
        <v>607</v>
      </c>
      <c r="W123" t="s">
        <v>608</v>
      </c>
      <c r="X123" t="s">
        <v>609</v>
      </c>
      <c r="Y123" t="s">
        <v>533</v>
      </c>
      <c r="Z123" t="s">
        <v>610</v>
      </c>
      <c r="AA123" t="s">
        <v>611</v>
      </c>
      <c r="AB123" t="s">
        <v>610</v>
      </c>
      <c r="AC123" t="s">
        <v>491</v>
      </c>
      <c r="AD123" t="s">
        <v>492</v>
      </c>
      <c r="AE123" t="s">
        <v>610</v>
      </c>
      <c r="AG123">
        <v>7.02</v>
      </c>
      <c r="AH123">
        <v>0.18</v>
      </c>
      <c r="AI123">
        <v>0.05</v>
      </c>
      <c r="AJ123">
        <v>7.25</v>
      </c>
      <c r="AK123">
        <v>0</v>
      </c>
      <c r="AL123">
        <v>1.1599999999999999</v>
      </c>
      <c r="AM123">
        <v>0.15</v>
      </c>
      <c r="AN123">
        <v>0.05</v>
      </c>
      <c r="AO123">
        <v>0.05</v>
      </c>
      <c r="AP123">
        <v>0.05</v>
      </c>
      <c r="AQ123" t="s">
        <v>251</v>
      </c>
      <c r="AR123">
        <v>145.04</v>
      </c>
      <c r="AS123">
        <v>1.6</v>
      </c>
      <c r="AT123" t="s">
        <v>612</v>
      </c>
      <c r="AU123" t="s">
        <v>84</v>
      </c>
      <c r="AV123">
        <v>0</v>
      </c>
      <c r="AW123" t="s">
        <v>85</v>
      </c>
      <c r="AY123" t="s">
        <v>108</v>
      </c>
      <c r="AZ123" t="s">
        <v>493</v>
      </c>
      <c r="BA123" t="s">
        <v>170</v>
      </c>
      <c r="BB123" t="s">
        <v>90</v>
      </c>
      <c r="BC123">
        <v>22329</v>
      </c>
      <c r="BD123">
        <v>20240824</v>
      </c>
      <c r="BE123">
        <v>140.4</v>
      </c>
      <c r="BF123" t="s">
        <v>494</v>
      </c>
      <c r="BG123" t="s">
        <v>495</v>
      </c>
      <c r="BH123">
        <v>20240821</v>
      </c>
      <c r="BJ123" t="s">
        <v>112</v>
      </c>
    </row>
    <row r="124" spans="1:62" ht="12.75" x14ac:dyDescent="0.2">
      <c r="A124">
        <v>23</v>
      </c>
      <c r="B124">
        <v>8</v>
      </c>
      <c r="C124">
        <v>2024</v>
      </c>
      <c r="D124">
        <v>129877</v>
      </c>
      <c r="E124">
        <v>48</v>
      </c>
      <c r="F124" t="s">
        <v>65</v>
      </c>
      <c r="G124" t="s">
        <v>66</v>
      </c>
      <c r="H124">
        <v>20550731399</v>
      </c>
      <c r="I124" t="s">
        <v>67</v>
      </c>
      <c r="J124" t="s">
        <v>68</v>
      </c>
      <c r="K124" t="s">
        <v>69</v>
      </c>
      <c r="L124" t="s">
        <v>69</v>
      </c>
      <c r="M124" t="s">
        <v>70</v>
      </c>
      <c r="N124" t="s">
        <v>71</v>
      </c>
      <c r="O124" t="s">
        <v>71</v>
      </c>
      <c r="P124" t="s">
        <v>72</v>
      </c>
      <c r="Q124" t="s">
        <v>73</v>
      </c>
      <c r="R124" t="s">
        <v>149</v>
      </c>
      <c r="S124" t="s">
        <v>149</v>
      </c>
      <c r="T124" t="s">
        <v>406</v>
      </c>
      <c r="U124">
        <v>8515900000</v>
      </c>
      <c r="V124" t="s">
        <v>536</v>
      </c>
      <c r="W124" t="s">
        <v>537</v>
      </c>
      <c r="X124" t="s">
        <v>613</v>
      </c>
      <c r="Y124" t="s">
        <v>533</v>
      </c>
      <c r="Z124" t="s">
        <v>539</v>
      </c>
      <c r="AA124" t="s">
        <v>614</v>
      </c>
      <c r="AB124" t="s">
        <v>539</v>
      </c>
      <c r="AC124" t="s">
        <v>491</v>
      </c>
      <c r="AD124" t="s">
        <v>492</v>
      </c>
      <c r="AE124" t="s">
        <v>539</v>
      </c>
      <c r="AG124">
        <v>357.31</v>
      </c>
      <c r="AH124">
        <v>9.09</v>
      </c>
      <c r="AI124">
        <v>6.25</v>
      </c>
      <c r="AJ124">
        <v>372.65</v>
      </c>
      <c r="AK124">
        <v>0</v>
      </c>
      <c r="AL124">
        <v>59.62</v>
      </c>
      <c r="AM124">
        <v>7.45</v>
      </c>
      <c r="AN124">
        <v>2.46</v>
      </c>
      <c r="AO124">
        <v>2.5299999999999998</v>
      </c>
      <c r="AP124">
        <v>2</v>
      </c>
      <c r="AQ124" t="s">
        <v>82</v>
      </c>
      <c r="AR124">
        <v>186.327</v>
      </c>
      <c r="AS124">
        <v>2</v>
      </c>
      <c r="AT124" t="s">
        <v>107</v>
      </c>
      <c r="AU124" t="s">
        <v>84</v>
      </c>
      <c r="AV124">
        <v>0</v>
      </c>
      <c r="AW124" t="s">
        <v>85</v>
      </c>
      <c r="AY124" t="s">
        <v>108</v>
      </c>
      <c r="AZ124" t="s">
        <v>493</v>
      </c>
      <c r="BA124" t="s">
        <v>170</v>
      </c>
      <c r="BB124" t="s">
        <v>90</v>
      </c>
      <c r="BC124">
        <v>22329</v>
      </c>
      <c r="BD124">
        <v>20240824</v>
      </c>
      <c r="BE124">
        <v>178.655</v>
      </c>
      <c r="BF124" t="s">
        <v>494</v>
      </c>
      <c r="BG124" t="s">
        <v>495</v>
      </c>
      <c r="BH124">
        <v>20240821</v>
      </c>
      <c r="BJ124" t="s">
        <v>112</v>
      </c>
    </row>
    <row r="125" spans="1:62" ht="12.75" x14ac:dyDescent="0.2">
      <c r="A125">
        <v>23</v>
      </c>
      <c r="B125">
        <v>8</v>
      </c>
      <c r="C125">
        <v>2024</v>
      </c>
      <c r="D125">
        <v>129877</v>
      </c>
      <c r="E125">
        <v>2</v>
      </c>
      <c r="F125" t="s">
        <v>65</v>
      </c>
      <c r="G125" t="s">
        <v>66</v>
      </c>
      <c r="H125">
        <v>20550731399</v>
      </c>
      <c r="I125" t="s">
        <v>67</v>
      </c>
      <c r="J125" t="s">
        <v>68</v>
      </c>
      <c r="K125" t="s">
        <v>69</v>
      </c>
      <c r="L125" t="s">
        <v>69</v>
      </c>
      <c r="M125" t="s">
        <v>70</v>
      </c>
      <c r="N125" t="s">
        <v>71</v>
      </c>
      <c r="O125" t="s">
        <v>71</v>
      </c>
      <c r="P125" t="s">
        <v>72</v>
      </c>
      <c r="Q125" t="s">
        <v>73</v>
      </c>
      <c r="R125" t="s">
        <v>149</v>
      </c>
      <c r="S125" t="s">
        <v>149</v>
      </c>
      <c r="T125" t="s">
        <v>406</v>
      </c>
      <c r="U125">
        <v>7402003000</v>
      </c>
      <c r="V125" t="s">
        <v>615</v>
      </c>
      <c r="W125" t="s">
        <v>616</v>
      </c>
      <c r="X125" t="s">
        <v>617</v>
      </c>
      <c r="Y125" t="s">
        <v>575</v>
      </c>
      <c r="Z125" t="s">
        <v>618</v>
      </c>
      <c r="AA125" t="s">
        <v>619</v>
      </c>
      <c r="AB125" t="s">
        <v>618</v>
      </c>
      <c r="AC125" t="s">
        <v>491</v>
      </c>
      <c r="AD125" t="s">
        <v>492</v>
      </c>
      <c r="AE125" t="s">
        <v>618</v>
      </c>
      <c r="AG125">
        <v>341.06</v>
      </c>
      <c r="AH125">
        <v>8.68</v>
      </c>
      <c r="AI125">
        <v>4.26</v>
      </c>
      <c r="AJ125">
        <v>354</v>
      </c>
      <c r="AK125">
        <v>0</v>
      </c>
      <c r="AL125">
        <v>56.64</v>
      </c>
      <c r="AM125">
        <v>7.08</v>
      </c>
      <c r="AN125">
        <v>2.35</v>
      </c>
      <c r="AO125">
        <v>2.41</v>
      </c>
      <c r="AP125">
        <v>2.35</v>
      </c>
      <c r="AQ125" t="s">
        <v>251</v>
      </c>
      <c r="AR125">
        <v>150.63999999999999</v>
      </c>
      <c r="AS125">
        <v>2</v>
      </c>
      <c r="AT125" t="s">
        <v>107</v>
      </c>
      <c r="AU125" t="s">
        <v>84</v>
      </c>
      <c r="AV125">
        <v>0</v>
      </c>
      <c r="AW125" t="s">
        <v>85</v>
      </c>
      <c r="AY125" t="s">
        <v>108</v>
      </c>
      <c r="AZ125" t="s">
        <v>493</v>
      </c>
      <c r="BA125" t="s">
        <v>170</v>
      </c>
      <c r="BB125" t="s">
        <v>90</v>
      </c>
      <c r="BC125">
        <v>22329</v>
      </c>
      <c r="BD125">
        <v>20240824</v>
      </c>
      <c r="BE125">
        <v>145.13200000000001</v>
      </c>
      <c r="BF125" t="s">
        <v>494</v>
      </c>
      <c r="BG125" t="s">
        <v>495</v>
      </c>
      <c r="BH125">
        <v>20240821</v>
      </c>
      <c r="BJ125" t="s">
        <v>112</v>
      </c>
    </row>
    <row r="126" spans="1:62" ht="12.75" x14ac:dyDescent="0.2">
      <c r="A126">
        <v>23</v>
      </c>
      <c r="B126">
        <v>8</v>
      </c>
      <c r="C126">
        <v>2024</v>
      </c>
      <c r="D126">
        <v>129877</v>
      </c>
      <c r="E126">
        <v>7</v>
      </c>
      <c r="F126" t="s">
        <v>65</v>
      </c>
      <c r="G126" t="s">
        <v>66</v>
      </c>
      <c r="H126">
        <v>20550731399</v>
      </c>
      <c r="I126" t="s">
        <v>67</v>
      </c>
      <c r="J126" t="s">
        <v>68</v>
      </c>
      <c r="K126" t="s">
        <v>69</v>
      </c>
      <c r="L126" t="s">
        <v>69</v>
      </c>
      <c r="M126" t="s">
        <v>70</v>
      </c>
      <c r="N126" t="s">
        <v>71</v>
      </c>
      <c r="O126" t="s">
        <v>71</v>
      </c>
      <c r="P126" t="s">
        <v>72</v>
      </c>
      <c r="Q126" t="s">
        <v>73</v>
      </c>
      <c r="R126" t="s">
        <v>149</v>
      </c>
      <c r="S126" t="s">
        <v>149</v>
      </c>
      <c r="T126" t="s">
        <v>406</v>
      </c>
      <c r="U126">
        <v>4016930000</v>
      </c>
      <c r="V126" t="s">
        <v>76</v>
      </c>
      <c r="W126" t="s">
        <v>496</v>
      </c>
      <c r="X126" t="s">
        <v>620</v>
      </c>
      <c r="Y126" t="s">
        <v>488</v>
      </c>
      <c r="Z126" t="s">
        <v>499</v>
      </c>
      <c r="AA126" t="s">
        <v>621</v>
      </c>
      <c r="AB126" t="s">
        <v>499</v>
      </c>
      <c r="AC126" t="s">
        <v>491</v>
      </c>
      <c r="AD126" t="s">
        <v>492</v>
      </c>
      <c r="AE126" t="s">
        <v>499</v>
      </c>
      <c r="AG126">
        <v>172.84</v>
      </c>
      <c r="AH126">
        <v>4.4000000000000004</v>
      </c>
      <c r="AI126">
        <v>3.02</v>
      </c>
      <c r="AJ126">
        <v>180.26</v>
      </c>
      <c r="AK126">
        <v>10.82</v>
      </c>
      <c r="AL126">
        <v>30.57</v>
      </c>
      <c r="AM126">
        <v>3.82</v>
      </c>
      <c r="AN126">
        <v>1.19</v>
      </c>
      <c r="AO126">
        <v>1.22</v>
      </c>
      <c r="AP126">
        <v>1</v>
      </c>
      <c r="AQ126" t="s">
        <v>82</v>
      </c>
      <c r="AR126">
        <v>180.26400000000001</v>
      </c>
      <c r="AS126">
        <v>1</v>
      </c>
      <c r="AT126" t="s">
        <v>107</v>
      </c>
      <c r="AU126" t="s">
        <v>84</v>
      </c>
      <c r="AV126">
        <v>0</v>
      </c>
      <c r="AW126" t="s">
        <v>85</v>
      </c>
      <c r="AY126" t="s">
        <v>108</v>
      </c>
      <c r="AZ126" t="s">
        <v>493</v>
      </c>
      <c r="BA126" t="s">
        <v>170</v>
      </c>
      <c r="BB126" t="s">
        <v>90</v>
      </c>
      <c r="BC126">
        <v>22329</v>
      </c>
      <c r="BD126">
        <v>20240824</v>
      </c>
      <c r="BE126">
        <v>172.84</v>
      </c>
      <c r="BF126" t="s">
        <v>494</v>
      </c>
      <c r="BG126" t="s">
        <v>495</v>
      </c>
      <c r="BH126">
        <v>20240821</v>
      </c>
      <c r="BJ126" t="s">
        <v>112</v>
      </c>
    </row>
    <row r="127" spans="1:62" ht="12.75" x14ac:dyDescent="0.2">
      <c r="A127">
        <v>23</v>
      </c>
      <c r="B127">
        <v>8</v>
      </c>
      <c r="C127">
        <v>2024</v>
      </c>
      <c r="D127">
        <v>129877</v>
      </c>
      <c r="E127">
        <v>11</v>
      </c>
      <c r="F127" t="s">
        <v>65</v>
      </c>
      <c r="G127" t="s">
        <v>66</v>
      </c>
      <c r="H127">
        <v>20550731399</v>
      </c>
      <c r="I127" t="s">
        <v>67</v>
      </c>
      <c r="J127" t="s">
        <v>68</v>
      </c>
      <c r="K127" t="s">
        <v>69</v>
      </c>
      <c r="L127" t="s">
        <v>69</v>
      </c>
      <c r="M127" t="s">
        <v>70</v>
      </c>
      <c r="N127" t="s">
        <v>71</v>
      </c>
      <c r="O127" t="s">
        <v>71</v>
      </c>
      <c r="P127" t="s">
        <v>72</v>
      </c>
      <c r="Q127" t="s">
        <v>73</v>
      </c>
      <c r="R127" t="s">
        <v>149</v>
      </c>
      <c r="S127" t="s">
        <v>149</v>
      </c>
      <c r="T127" t="s">
        <v>406</v>
      </c>
      <c r="U127">
        <v>8409997000</v>
      </c>
      <c r="V127" t="s">
        <v>622</v>
      </c>
      <c r="W127" t="s">
        <v>623</v>
      </c>
      <c r="X127" t="s">
        <v>624</v>
      </c>
      <c r="Y127" t="s">
        <v>502</v>
      </c>
      <c r="Z127" t="s">
        <v>625</v>
      </c>
      <c r="AA127" t="s">
        <v>626</v>
      </c>
      <c r="AB127" t="s">
        <v>625</v>
      </c>
      <c r="AC127" t="s">
        <v>491</v>
      </c>
      <c r="AD127" t="s">
        <v>492</v>
      </c>
      <c r="AE127" t="s">
        <v>625</v>
      </c>
      <c r="AG127">
        <v>107.76</v>
      </c>
      <c r="AH127">
        <v>2.74</v>
      </c>
      <c r="AI127">
        <v>1.08</v>
      </c>
      <c r="AJ127">
        <v>111.58</v>
      </c>
      <c r="AK127">
        <v>0</v>
      </c>
      <c r="AL127">
        <v>17.850000000000001</v>
      </c>
      <c r="AM127">
        <v>2.23</v>
      </c>
      <c r="AN127">
        <v>0.74</v>
      </c>
      <c r="AO127">
        <v>0.76</v>
      </c>
      <c r="AP127">
        <v>2</v>
      </c>
      <c r="AQ127" t="s">
        <v>82</v>
      </c>
      <c r="AR127">
        <v>55.790999999999997</v>
      </c>
      <c r="AS127">
        <v>2</v>
      </c>
      <c r="AT127" t="s">
        <v>107</v>
      </c>
      <c r="AU127" t="s">
        <v>84</v>
      </c>
      <c r="AV127">
        <v>0</v>
      </c>
      <c r="AW127" t="s">
        <v>85</v>
      </c>
      <c r="AY127" t="s">
        <v>108</v>
      </c>
      <c r="AZ127" t="s">
        <v>493</v>
      </c>
      <c r="BA127" t="s">
        <v>170</v>
      </c>
      <c r="BB127" t="s">
        <v>90</v>
      </c>
      <c r="BC127">
        <v>22329</v>
      </c>
      <c r="BD127">
        <v>20240824</v>
      </c>
      <c r="BE127">
        <v>53.88</v>
      </c>
      <c r="BF127" t="s">
        <v>494</v>
      </c>
      <c r="BG127" t="s">
        <v>495</v>
      </c>
      <c r="BH127">
        <v>20240821</v>
      </c>
      <c r="BJ127" t="s">
        <v>112</v>
      </c>
    </row>
    <row r="128" spans="1:62" ht="12.75" x14ac:dyDescent="0.2">
      <c r="A128">
        <v>23</v>
      </c>
      <c r="B128">
        <v>8</v>
      </c>
      <c r="C128">
        <v>2024</v>
      </c>
      <c r="D128">
        <v>129877</v>
      </c>
      <c r="E128">
        <v>15</v>
      </c>
      <c r="F128" t="s">
        <v>65</v>
      </c>
      <c r="G128" t="s">
        <v>66</v>
      </c>
      <c r="H128">
        <v>20550731399</v>
      </c>
      <c r="I128" t="s">
        <v>67</v>
      </c>
      <c r="J128" t="s">
        <v>68</v>
      </c>
      <c r="K128" t="s">
        <v>69</v>
      </c>
      <c r="L128" t="s">
        <v>69</v>
      </c>
      <c r="M128" t="s">
        <v>70</v>
      </c>
      <c r="N128" t="s">
        <v>71</v>
      </c>
      <c r="O128" t="s">
        <v>71</v>
      </c>
      <c r="P128" t="s">
        <v>72</v>
      </c>
      <c r="Q128" t="s">
        <v>73</v>
      </c>
      <c r="R128" t="s">
        <v>149</v>
      </c>
      <c r="S128" t="s">
        <v>149</v>
      </c>
      <c r="T128" t="s">
        <v>406</v>
      </c>
      <c r="U128">
        <v>7318240000</v>
      </c>
      <c r="V128" t="s">
        <v>569</v>
      </c>
      <c r="W128" t="s">
        <v>570</v>
      </c>
      <c r="X128" t="s">
        <v>627</v>
      </c>
      <c r="Y128" t="s">
        <v>506</v>
      </c>
      <c r="Z128" t="s">
        <v>572</v>
      </c>
      <c r="AA128" t="s">
        <v>628</v>
      </c>
      <c r="AB128" t="s">
        <v>572</v>
      </c>
      <c r="AC128" t="s">
        <v>491</v>
      </c>
      <c r="AD128" t="s">
        <v>492</v>
      </c>
      <c r="AE128" t="s">
        <v>572</v>
      </c>
      <c r="AG128">
        <v>1.54</v>
      </c>
      <c r="AH128">
        <v>0.04</v>
      </c>
      <c r="AI128">
        <v>0.04</v>
      </c>
      <c r="AJ128">
        <v>1.62</v>
      </c>
      <c r="AK128">
        <v>0.1</v>
      </c>
      <c r="AL128">
        <v>0.28000000000000003</v>
      </c>
      <c r="AM128">
        <v>0.03</v>
      </c>
      <c r="AN128">
        <v>0.01</v>
      </c>
      <c r="AO128">
        <v>0.01</v>
      </c>
      <c r="AP128">
        <v>0.01</v>
      </c>
      <c r="AQ128" t="s">
        <v>251</v>
      </c>
      <c r="AR128">
        <v>162.1</v>
      </c>
      <c r="AS128">
        <v>2</v>
      </c>
      <c r="AT128" t="s">
        <v>107</v>
      </c>
      <c r="AU128" t="s">
        <v>84</v>
      </c>
      <c r="AV128">
        <v>0</v>
      </c>
      <c r="AW128" t="s">
        <v>85</v>
      </c>
      <c r="AY128" t="s">
        <v>108</v>
      </c>
      <c r="AZ128" t="s">
        <v>493</v>
      </c>
      <c r="BA128" t="s">
        <v>170</v>
      </c>
      <c r="BB128" t="s">
        <v>90</v>
      </c>
      <c r="BC128">
        <v>22329</v>
      </c>
      <c r="BD128">
        <v>20240824</v>
      </c>
      <c r="BE128">
        <v>154</v>
      </c>
      <c r="BF128" t="s">
        <v>494</v>
      </c>
      <c r="BG128" t="s">
        <v>495</v>
      </c>
      <c r="BH128">
        <v>20240821</v>
      </c>
      <c r="BJ128" t="s">
        <v>112</v>
      </c>
    </row>
    <row r="129" spans="1:62" ht="12.75" x14ac:dyDescent="0.2">
      <c r="A129">
        <v>23</v>
      </c>
      <c r="B129">
        <v>8</v>
      </c>
      <c r="C129">
        <v>2024</v>
      </c>
      <c r="D129">
        <v>129877</v>
      </c>
      <c r="E129">
        <v>19</v>
      </c>
      <c r="F129" t="s">
        <v>65</v>
      </c>
      <c r="G129" t="s">
        <v>66</v>
      </c>
      <c r="H129">
        <v>20550731399</v>
      </c>
      <c r="I129" t="s">
        <v>67</v>
      </c>
      <c r="J129" t="s">
        <v>68</v>
      </c>
      <c r="K129" t="s">
        <v>69</v>
      </c>
      <c r="L129" t="s">
        <v>69</v>
      </c>
      <c r="M129" t="s">
        <v>70</v>
      </c>
      <c r="N129" t="s">
        <v>71</v>
      </c>
      <c r="O129" t="s">
        <v>71</v>
      </c>
      <c r="P129" t="s">
        <v>72</v>
      </c>
      <c r="Q129" t="s">
        <v>73</v>
      </c>
      <c r="R129" t="s">
        <v>149</v>
      </c>
      <c r="S129" t="s">
        <v>149</v>
      </c>
      <c r="T129" t="s">
        <v>406</v>
      </c>
      <c r="U129">
        <v>8409999900</v>
      </c>
      <c r="V129" t="s">
        <v>509</v>
      </c>
      <c r="W129" t="s">
        <v>629</v>
      </c>
      <c r="X129" t="s">
        <v>630</v>
      </c>
      <c r="Y129" t="s">
        <v>506</v>
      </c>
      <c r="Z129" t="s">
        <v>631</v>
      </c>
      <c r="AA129" t="s">
        <v>632</v>
      </c>
      <c r="AB129" t="s">
        <v>631</v>
      </c>
      <c r="AC129" t="s">
        <v>491</v>
      </c>
      <c r="AD129" t="s">
        <v>492</v>
      </c>
      <c r="AE129" t="s">
        <v>631</v>
      </c>
      <c r="AG129">
        <v>66.94</v>
      </c>
      <c r="AH129">
        <v>1.7</v>
      </c>
      <c r="AI129">
        <v>0.67</v>
      </c>
      <c r="AJ129">
        <v>69.31</v>
      </c>
      <c r="AK129">
        <v>0</v>
      </c>
      <c r="AL129">
        <v>11.09</v>
      </c>
      <c r="AM129">
        <v>1.39</v>
      </c>
      <c r="AN129">
        <v>0.46</v>
      </c>
      <c r="AO129">
        <v>0.47</v>
      </c>
      <c r="AP129">
        <v>2</v>
      </c>
      <c r="AQ129" t="s">
        <v>82</v>
      </c>
      <c r="AR129">
        <v>34.656999999999996</v>
      </c>
      <c r="AS129">
        <v>2</v>
      </c>
      <c r="AT129" t="s">
        <v>107</v>
      </c>
      <c r="AU129" t="s">
        <v>84</v>
      </c>
      <c r="AV129">
        <v>0</v>
      </c>
      <c r="AW129" t="s">
        <v>85</v>
      </c>
      <c r="AY129" t="s">
        <v>108</v>
      </c>
      <c r="AZ129" t="s">
        <v>493</v>
      </c>
      <c r="BA129" t="s">
        <v>170</v>
      </c>
      <c r="BB129" t="s">
        <v>90</v>
      </c>
      <c r="BC129">
        <v>22329</v>
      </c>
      <c r="BD129">
        <v>20240824</v>
      </c>
      <c r="BE129">
        <v>33.47</v>
      </c>
      <c r="BF129" t="s">
        <v>494</v>
      </c>
      <c r="BG129" t="s">
        <v>495</v>
      </c>
      <c r="BH129">
        <v>20240821</v>
      </c>
      <c r="BJ129" t="s">
        <v>112</v>
      </c>
    </row>
    <row r="130" spans="1:62" ht="12.75" x14ac:dyDescent="0.2">
      <c r="A130">
        <v>23</v>
      </c>
      <c r="B130">
        <v>8</v>
      </c>
      <c r="C130">
        <v>2024</v>
      </c>
      <c r="D130">
        <v>129877</v>
      </c>
      <c r="E130">
        <v>24</v>
      </c>
      <c r="F130" t="s">
        <v>65</v>
      </c>
      <c r="G130" t="s">
        <v>66</v>
      </c>
      <c r="H130">
        <v>20550731399</v>
      </c>
      <c r="I130" t="s">
        <v>67</v>
      </c>
      <c r="J130" t="s">
        <v>68</v>
      </c>
      <c r="K130" t="s">
        <v>69</v>
      </c>
      <c r="L130" t="s">
        <v>69</v>
      </c>
      <c r="M130" t="s">
        <v>70</v>
      </c>
      <c r="N130" t="s">
        <v>71</v>
      </c>
      <c r="O130" t="s">
        <v>71</v>
      </c>
      <c r="P130" t="s">
        <v>72</v>
      </c>
      <c r="Q130" t="s">
        <v>73</v>
      </c>
      <c r="R130" t="s">
        <v>149</v>
      </c>
      <c r="S130" t="s">
        <v>149</v>
      </c>
      <c r="T130" t="s">
        <v>406</v>
      </c>
      <c r="U130">
        <v>4016930000</v>
      </c>
      <c r="V130" t="s">
        <v>76</v>
      </c>
      <c r="W130" t="s">
        <v>496</v>
      </c>
      <c r="X130" t="s">
        <v>633</v>
      </c>
      <c r="Y130" t="s">
        <v>634</v>
      </c>
      <c r="Z130" t="s">
        <v>499</v>
      </c>
      <c r="AA130" t="s">
        <v>635</v>
      </c>
      <c r="AB130" t="s">
        <v>499</v>
      </c>
      <c r="AC130" t="s">
        <v>491</v>
      </c>
      <c r="AD130" t="s">
        <v>492</v>
      </c>
      <c r="AE130" t="s">
        <v>499</v>
      </c>
      <c r="AG130">
        <v>31.61</v>
      </c>
      <c r="AH130">
        <v>0.8</v>
      </c>
      <c r="AI130">
        <v>0.55000000000000004</v>
      </c>
      <c r="AJ130">
        <v>32.97</v>
      </c>
      <c r="AK130">
        <v>1.98</v>
      </c>
      <c r="AL130">
        <v>5.59</v>
      </c>
      <c r="AM130">
        <v>0.7</v>
      </c>
      <c r="AN130">
        <v>0.22</v>
      </c>
      <c r="AO130">
        <v>0.22</v>
      </c>
      <c r="AP130">
        <v>1</v>
      </c>
      <c r="AQ130" t="s">
        <v>82</v>
      </c>
      <c r="AR130">
        <v>32.968000000000004</v>
      </c>
      <c r="AS130">
        <v>1</v>
      </c>
      <c r="AT130" t="s">
        <v>107</v>
      </c>
      <c r="AU130" t="s">
        <v>84</v>
      </c>
      <c r="AV130">
        <v>0</v>
      </c>
      <c r="AW130" t="s">
        <v>85</v>
      </c>
      <c r="AY130" t="s">
        <v>108</v>
      </c>
      <c r="AZ130" t="s">
        <v>493</v>
      </c>
      <c r="BA130" t="s">
        <v>170</v>
      </c>
      <c r="BB130" t="s">
        <v>90</v>
      </c>
      <c r="BC130">
        <v>22329</v>
      </c>
      <c r="BD130">
        <v>20240824</v>
      </c>
      <c r="BE130">
        <v>31.61</v>
      </c>
      <c r="BF130" t="s">
        <v>494</v>
      </c>
      <c r="BG130" t="s">
        <v>495</v>
      </c>
      <c r="BH130">
        <v>20240821</v>
      </c>
      <c r="BJ130" t="s">
        <v>112</v>
      </c>
    </row>
    <row r="131" spans="1:62" ht="12.75" x14ac:dyDescent="0.2">
      <c r="A131">
        <v>23</v>
      </c>
      <c r="B131">
        <v>8</v>
      </c>
      <c r="C131">
        <v>2024</v>
      </c>
      <c r="D131">
        <v>129877</v>
      </c>
      <c r="E131">
        <v>28</v>
      </c>
      <c r="F131" t="s">
        <v>65</v>
      </c>
      <c r="G131" t="s">
        <v>66</v>
      </c>
      <c r="H131">
        <v>20550731399</v>
      </c>
      <c r="I131" t="s">
        <v>67</v>
      </c>
      <c r="J131" t="s">
        <v>68</v>
      </c>
      <c r="K131" t="s">
        <v>69</v>
      </c>
      <c r="L131" t="s">
        <v>69</v>
      </c>
      <c r="M131" t="s">
        <v>70</v>
      </c>
      <c r="N131" t="s">
        <v>71</v>
      </c>
      <c r="O131" t="s">
        <v>71</v>
      </c>
      <c r="P131" t="s">
        <v>72</v>
      </c>
      <c r="Q131" t="s">
        <v>73</v>
      </c>
      <c r="R131" t="s">
        <v>149</v>
      </c>
      <c r="S131" t="s">
        <v>149</v>
      </c>
      <c r="T131" t="s">
        <v>406</v>
      </c>
      <c r="U131">
        <v>4016930000</v>
      </c>
      <c r="V131" t="s">
        <v>76</v>
      </c>
      <c r="W131" t="s">
        <v>487</v>
      </c>
      <c r="X131" t="s">
        <v>636</v>
      </c>
      <c r="Y131" t="s">
        <v>637</v>
      </c>
      <c r="Z131" t="s">
        <v>489</v>
      </c>
      <c r="AA131" t="s">
        <v>638</v>
      </c>
      <c r="AB131" t="s">
        <v>489</v>
      </c>
      <c r="AC131" t="s">
        <v>491</v>
      </c>
      <c r="AD131" t="s">
        <v>492</v>
      </c>
      <c r="AE131" t="s">
        <v>489</v>
      </c>
      <c r="AG131">
        <v>18.22</v>
      </c>
      <c r="AH131">
        <v>0.46</v>
      </c>
      <c r="AI131">
        <v>0.32</v>
      </c>
      <c r="AJ131">
        <v>19</v>
      </c>
      <c r="AK131">
        <v>1.1399999999999999</v>
      </c>
      <c r="AL131">
        <v>3.22</v>
      </c>
      <c r="AM131">
        <v>0.4</v>
      </c>
      <c r="AN131">
        <v>0.13</v>
      </c>
      <c r="AO131">
        <v>0.13</v>
      </c>
      <c r="AP131">
        <v>2</v>
      </c>
      <c r="AQ131" t="s">
        <v>82</v>
      </c>
      <c r="AR131">
        <v>9.5020000000000007</v>
      </c>
      <c r="AS131">
        <v>2</v>
      </c>
      <c r="AT131" t="s">
        <v>107</v>
      </c>
      <c r="AU131" t="s">
        <v>84</v>
      </c>
      <c r="AV131">
        <v>0</v>
      </c>
      <c r="AW131" t="s">
        <v>85</v>
      </c>
      <c r="AY131" t="s">
        <v>108</v>
      </c>
      <c r="AZ131" t="s">
        <v>493</v>
      </c>
      <c r="BA131" t="s">
        <v>170</v>
      </c>
      <c r="BB131" t="s">
        <v>90</v>
      </c>
      <c r="BC131">
        <v>22329</v>
      </c>
      <c r="BD131">
        <v>20240824</v>
      </c>
      <c r="BE131">
        <v>9.11</v>
      </c>
      <c r="BF131" t="s">
        <v>494</v>
      </c>
      <c r="BG131" t="s">
        <v>495</v>
      </c>
      <c r="BH131">
        <v>20240821</v>
      </c>
      <c r="BJ131" t="s">
        <v>112</v>
      </c>
    </row>
    <row r="132" spans="1:62" ht="12.75" x14ac:dyDescent="0.2">
      <c r="A132">
        <v>23</v>
      </c>
      <c r="B132">
        <v>8</v>
      </c>
      <c r="C132">
        <v>2024</v>
      </c>
      <c r="D132">
        <v>129877</v>
      </c>
      <c r="E132">
        <v>32</v>
      </c>
      <c r="F132" t="s">
        <v>65</v>
      </c>
      <c r="G132" t="s">
        <v>66</v>
      </c>
      <c r="H132">
        <v>20550731399</v>
      </c>
      <c r="I132" t="s">
        <v>67</v>
      </c>
      <c r="J132" t="s">
        <v>68</v>
      </c>
      <c r="K132" t="s">
        <v>69</v>
      </c>
      <c r="L132" t="s">
        <v>69</v>
      </c>
      <c r="M132" t="s">
        <v>70</v>
      </c>
      <c r="N132" t="s">
        <v>71</v>
      </c>
      <c r="O132" t="s">
        <v>71</v>
      </c>
      <c r="P132" t="s">
        <v>72</v>
      </c>
      <c r="Q132" t="s">
        <v>73</v>
      </c>
      <c r="R132" t="s">
        <v>149</v>
      </c>
      <c r="S132" t="s">
        <v>149</v>
      </c>
      <c r="T132" t="s">
        <v>406</v>
      </c>
      <c r="U132">
        <v>4016930000</v>
      </c>
      <c r="V132" t="s">
        <v>76</v>
      </c>
      <c r="W132" t="s">
        <v>596</v>
      </c>
      <c r="X132" t="s">
        <v>597</v>
      </c>
      <c r="Y132" t="s">
        <v>524</v>
      </c>
      <c r="Z132" t="s">
        <v>598</v>
      </c>
      <c r="AA132" t="s">
        <v>639</v>
      </c>
      <c r="AB132" t="s">
        <v>598</v>
      </c>
      <c r="AC132" t="s">
        <v>491</v>
      </c>
      <c r="AD132" t="s">
        <v>492</v>
      </c>
      <c r="AE132" t="s">
        <v>598</v>
      </c>
      <c r="AG132">
        <v>21.73</v>
      </c>
      <c r="AH132">
        <v>0.55000000000000004</v>
      </c>
      <c r="AI132">
        <v>0.38</v>
      </c>
      <c r="AJ132">
        <v>22.66</v>
      </c>
      <c r="AK132">
        <v>1.36</v>
      </c>
      <c r="AL132">
        <v>3.84</v>
      </c>
      <c r="AM132">
        <v>0.48</v>
      </c>
      <c r="AN132">
        <v>0.15</v>
      </c>
      <c r="AO132">
        <v>0.15</v>
      </c>
      <c r="AP132">
        <v>1</v>
      </c>
      <c r="AQ132" t="s">
        <v>82</v>
      </c>
      <c r="AR132">
        <v>22.661999999999999</v>
      </c>
      <c r="AS132">
        <v>1</v>
      </c>
      <c r="AT132" t="s">
        <v>107</v>
      </c>
      <c r="AU132" t="s">
        <v>84</v>
      </c>
      <c r="AV132">
        <v>0</v>
      </c>
      <c r="AW132" t="s">
        <v>85</v>
      </c>
      <c r="AY132" t="s">
        <v>108</v>
      </c>
      <c r="AZ132" t="s">
        <v>493</v>
      </c>
      <c r="BA132" t="s">
        <v>170</v>
      </c>
      <c r="BB132" t="s">
        <v>90</v>
      </c>
      <c r="BC132">
        <v>22329</v>
      </c>
      <c r="BD132">
        <v>20240824</v>
      </c>
      <c r="BE132">
        <v>21.73</v>
      </c>
      <c r="BF132" t="s">
        <v>494</v>
      </c>
      <c r="BG132" t="s">
        <v>495</v>
      </c>
      <c r="BH132">
        <v>20240821</v>
      </c>
      <c r="BJ132" t="s">
        <v>112</v>
      </c>
    </row>
    <row r="133" spans="1:62" ht="12.75" x14ac:dyDescent="0.2">
      <c r="A133">
        <v>23</v>
      </c>
      <c r="B133">
        <v>8</v>
      </c>
      <c r="C133">
        <v>2024</v>
      </c>
      <c r="D133">
        <v>129877</v>
      </c>
      <c r="E133">
        <v>36</v>
      </c>
      <c r="F133" t="s">
        <v>65</v>
      </c>
      <c r="G133" t="s">
        <v>66</v>
      </c>
      <c r="H133">
        <v>20550731399</v>
      </c>
      <c r="I133" t="s">
        <v>67</v>
      </c>
      <c r="J133" t="s">
        <v>68</v>
      </c>
      <c r="K133" t="s">
        <v>69</v>
      </c>
      <c r="L133" t="s">
        <v>69</v>
      </c>
      <c r="M133" t="s">
        <v>70</v>
      </c>
      <c r="N133" t="s">
        <v>71</v>
      </c>
      <c r="O133" t="s">
        <v>71</v>
      </c>
      <c r="P133" t="s">
        <v>72</v>
      </c>
      <c r="Q133" t="s">
        <v>73</v>
      </c>
      <c r="R133" t="s">
        <v>149</v>
      </c>
      <c r="S133" t="s">
        <v>149</v>
      </c>
      <c r="T133" t="s">
        <v>406</v>
      </c>
      <c r="U133">
        <v>8482100000</v>
      </c>
      <c r="V133" t="s">
        <v>530</v>
      </c>
      <c r="W133" t="s">
        <v>531</v>
      </c>
      <c r="X133" t="s">
        <v>532</v>
      </c>
      <c r="Y133" t="s">
        <v>533</v>
      </c>
      <c r="Z133" t="s">
        <v>534</v>
      </c>
      <c r="AA133" t="s">
        <v>640</v>
      </c>
      <c r="AB133" t="s">
        <v>534</v>
      </c>
      <c r="AC133" t="s">
        <v>491</v>
      </c>
      <c r="AD133" t="s">
        <v>492</v>
      </c>
      <c r="AE133" t="s">
        <v>534</v>
      </c>
      <c r="AG133">
        <v>641.75</v>
      </c>
      <c r="AH133">
        <v>16.329999999999998</v>
      </c>
      <c r="AI133">
        <v>9.6300000000000008</v>
      </c>
      <c r="AJ133">
        <v>667.71</v>
      </c>
      <c r="AK133">
        <v>0</v>
      </c>
      <c r="AL133">
        <v>106.83</v>
      </c>
      <c r="AM133">
        <v>13.35</v>
      </c>
      <c r="AN133">
        <v>4.42</v>
      </c>
      <c r="AO133">
        <v>4.54</v>
      </c>
      <c r="AP133">
        <v>1</v>
      </c>
      <c r="AQ133" t="s">
        <v>82</v>
      </c>
      <c r="AR133">
        <v>667.70899999999995</v>
      </c>
      <c r="AS133">
        <v>1</v>
      </c>
      <c r="AT133" t="s">
        <v>107</v>
      </c>
      <c r="AU133" t="s">
        <v>84</v>
      </c>
      <c r="AV133">
        <v>0</v>
      </c>
      <c r="AW133" t="s">
        <v>85</v>
      </c>
      <c r="AY133" t="s">
        <v>108</v>
      </c>
      <c r="AZ133" t="s">
        <v>493</v>
      </c>
      <c r="BA133" t="s">
        <v>170</v>
      </c>
      <c r="BB133" t="s">
        <v>90</v>
      </c>
      <c r="BC133">
        <v>22329</v>
      </c>
      <c r="BD133">
        <v>20240824</v>
      </c>
      <c r="BE133">
        <v>641.75</v>
      </c>
      <c r="BF133" t="s">
        <v>494</v>
      </c>
      <c r="BG133" t="s">
        <v>495</v>
      </c>
      <c r="BH133">
        <v>20240821</v>
      </c>
      <c r="BJ133" t="s">
        <v>112</v>
      </c>
    </row>
    <row r="134" spans="1:62" ht="12.75" x14ac:dyDescent="0.2">
      <c r="A134">
        <v>23</v>
      </c>
      <c r="B134">
        <v>8</v>
      </c>
      <c r="C134">
        <v>2024</v>
      </c>
      <c r="D134">
        <v>129877</v>
      </c>
      <c r="E134">
        <v>39</v>
      </c>
      <c r="F134" t="s">
        <v>65</v>
      </c>
      <c r="G134" t="s">
        <v>66</v>
      </c>
      <c r="H134">
        <v>20550731399</v>
      </c>
      <c r="I134" t="s">
        <v>67</v>
      </c>
      <c r="J134" t="s">
        <v>68</v>
      </c>
      <c r="K134" t="s">
        <v>69</v>
      </c>
      <c r="L134" t="s">
        <v>69</v>
      </c>
      <c r="M134" t="s">
        <v>70</v>
      </c>
      <c r="N134" t="s">
        <v>71</v>
      </c>
      <c r="O134" t="s">
        <v>71</v>
      </c>
      <c r="P134" t="s">
        <v>72</v>
      </c>
      <c r="Q134" t="s">
        <v>73</v>
      </c>
      <c r="R134" t="s">
        <v>149</v>
      </c>
      <c r="S134" t="s">
        <v>149</v>
      </c>
      <c r="T134" t="s">
        <v>406</v>
      </c>
      <c r="U134">
        <v>4016930000</v>
      </c>
      <c r="V134" t="s">
        <v>76</v>
      </c>
      <c r="W134" t="s">
        <v>561</v>
      </c>
      <c r="X134" t="s">
        <v>562</v>
      </c>
      <c r="Y134" t="s">
        <v>533</v>
      </c>
      <c r="Z134" t="s">
        <v>564</v>
      </c>
      <c r="AA134" t="s">
        <v>641</v>
      </c>
      <c r="AB134" t="s">
        <v>564</v>
      </c>
      <c r="AC134" t="s">
        <v>491</v>
      </c>
      <c r="AD134" t="s">
        <v>492</v>
      </c>
      <c r="AE134" t="s">
        <v>564</v>
      </c>
      <c r="AG134">
        <v>580.73</v>
      </c>
      <c r="AH134">
        <v>14.78</v>
      </c>
      <c r="AI134">
        <v>10.16</v>
      </c>
      <c r="AJ134">
        <v>605.66999999999996</v>
      </c>
      <c r="AK134">
        <v>36.340000000000003</v>
      </c>
      <c r="AL134">
        <v>102.72</v>
      </c>
      <c r="AM134">
        <v>12.84</v>
      </c>
      <c r="AN134">
        <v>4</v>
      </c>
      <c r="AO134">
        <v>4.1100000000000003</v>
      </c>
      <c r="AP134">
        <v>1</v>
      </c>
      <c r="AQ134" t="s">
        <v>82</v>
      </c>
      <c r="AR134">
        <v>605.673</v>
      </c>
      <c r="AS134">
        <v>1</v>
      </c>
      <c r="AT134" t="s">
        <v>107</v>
      </c>
      <c r="AU134" t="s">
        <v>84</v>
      </c>
      <c r="AV134">
        <v>0</v>
      </c>
      <c r="AW134" t="s">
        <v>85</v>
      </c>
      <c r="AY134" t="s">
        <v>108</v>
      </c>
      <c r="AZ134" t="s">
        <v>493</v>
      </c>
      <c r="BA134" t="s">
        <v>170</v>
      </c>
      <c r="BB134" t="s">
        <v>90</v>
      </c>
      <c r="BC134">
        <v>22329</v>
      </c>
      <c r="BD134">
        <v>20240824</v>
      </c>
      <c r="BE134">
        <v>580.73</v>
      </c>
      <c r="BF134" t="s">
        <v>494</v>
      </c>
      <c r="BG134" t="s">
        <v>495</v>
      </c>
      <c r="BH134">
        <v>20240821</v>
      </c>
      <c r="BJ134" t="s">
        <v>112</v>
      </c>
    </row>
    <row r="135" spans="1:62" ht="12.75" x14ac:dyDescent="0.2">
      <c r="A135">
        <v>23</v>
      </c>
      <c r="B135">
        <v>8</v>
      </c>
      <c r="C135">
        <v>2024</v>
      </c>
      <c r="D135">
        <v>129877</v>
      </c>
      <c r="E135">
        <v>45</v>
      </c>
      <c r="F135" t="s">
        <v>65</v>
      </c>
      <c r="G135" t="s">
        <v>66</v>
      </c>
      <c r="H135">
        <v>20550731399</v>
      </c>
      <c r="I135" t="s">
        <v>67</v>
      </c>
      <c r="J135" t="s">
        <v>68</v>
      </c>
      <c r="K135" t="s">
        <v>69</v>
      </c>
      <c r="L135" t="s">
        <v>69</v>
      </c>
      <c r="M135" t="s">
        <v>70</v>
      </c>
      <c r="N135" t="s">
        <v>71</v>
      </c>
      <c r="O135" t="s">
        <v>71</v>
      </c>
      <c r="P135" t="s">
        <v>72</v>
      </c>
      <c r="Q135" t="s">
        <v>73</v>
      </c>
      <c r="R135" t="s">
        <v>149</v>
      </c>
      <c r="S135" t="s">
        <v>149</v>
      </c>
      <c r="T135" t="s">
        <v>406</v>
      </c>
      <c r="U135">
        <v>7217900000</v>
      </c>
      <c r="V135" t="s">
        <v>607</v>
      </c>
      <c r="W135" t="s">
        <v>642</v>
      </c>
      <c r="X135" t="s">
        <v>643</v>
      </c>
      <c r="Y135" t="s">
        <v>533</v>
      </c>
      <c r="Z135" t="s">
        <v>644</v>
      </c>
      <c r="AA135" t="s">
        <v>645</v>
      </c>
      <c r="AB135" t="s">
        <v>646</v>
      </c>
      <c r="AC135" t="s">
        <v>491</v>
      </c>
      <c r="AD135" t="s">
        <v>492</v>
      </c>
      <c r="AE135" t="s">
        <v>644</v>
      </c>
      <c r="AG135">
        <v>5.27</v>
      </c>
      <c r="AH135">
        <v>0.13</v>
      </c>
      <c r="AI135">
        <v>0.04</v>
      </c>
      <c r="AJ135">
        <v>5.44</v>
      </c>
      <c r="AK135">
        <v>0</v>
      </c>
      <c r="AL135">
        <v>0.87</v>
      </c>
      <c r="AM135">
        <v>0.11</v>
      </c>
      <c r="AN135">
        <v>0.04</v>
      </c>
      <c r="AO135">
        <v>0.04</v>
      </c>
      <c r="AP135">
        <v>0.04</v>
      </c>
      <c r="AQ135" t="s">
        <v>251</v>
      </c>
      <c r="AR135">
        <v>136.1</v>
      </c>
      <c r="AS135">
        <v>4</v>
      </c>
      <c r="AT135" t="s">
        <v>107</v>
      </c>
      <c r="AU135" t="s">
        <v>84</v>
      </c>
      <c r="AV135">
        <v>0</v>
      </c>
      <c r="AW135" t="s">
        <v>85</v>
      </c>
      <c r="AY135" t="s">
        <v>108</v>
      </c>
      <c r="AZ135" t="s">
        <v>493</v>
      </c>
      <c r="BA135" t="s">
        <v>170</v>
      </c>
      <c r="BB135" t="s">
        <v>90</v>
      </c>
      <c r="BC135">
        <v>22329</v>
      </c>
      <c r="BD135">
        <v>20240824</v>
      </c>
      <c r="BE135">
        <v>131.75</v>
      </c>
      <c r="BF135" t="s">
        <v>494</v>
      </c>
      <c r="BG135" t="s">
        <v>495</v>
      </c>
      <c r="BH135">
        <v>20240821</v>
      </c>
      <c r="BJ135" t="s">
        <v>112</v>
      </c>
    </row>
    <row r="136" spans="1:62" ht="12.75" x14ac:dyDescent="0.2">
      <c r="A136">
        <v>23</v>
      </c>
      <c r="B136">
        <v>8</v>
      </c>
      <c r="C136">
        <v>2024</v>
      </c>
      <c r="D136">
        <v>129877</v>
      </c>
      <c r="E136">
        <v>49</v>
      </c>
      <c r="F136" t="s">
        <v>65</v>
      </c>
      <c r="G136" t="s">
        <v>66</v>
      </c>
      <c r="H136">
        <v>20550731399</v>
      </c>
      <c r="I136" t="s">
        <v>67</v>
      </c>
      <c r="J136" t="s">
        <v>68</v>
      </c>
      <c r="K136" t="s">
        <v>69</v>
      </c>
      <c r="L136" t="s">
        <v>69</v>
      </c>
      <c r="M136" t="s">
        <v>70</v>
      </c>
      <c r="N136" t="s">
        <v>71</v>
      </c>
      <c r="O136" t="s">
        <v>71</v>
      </c>
      <c r="P136" t="s">
        <v>72</v>
      </c>
      <c r="Q136" t="s">
        <v>73</v>
      </c>
      <c r="R136" t="s">
        <v>149</v>
      </c>
      <c r="S136" t="s">
        <v>149</v>
      </c>
      <c r="T136" t="s">
        <v>406</v>
      </c>
      <c r="U136">
        <v>8708939900</v>
      </c>
      <c r="V136" t="s">
        <v>647</v>
      </c>
      <c r="W136" t="s">
        <v>648</v>
      </c>
      <c r="X136">
        <v>2021502</v>
      </c>
      <c r="Y136" t="s">
        <v>533</v>
      </c>
      <c r="Z136" t="s">
        <v>649</v>
      </c>
      <c r="AA136" t="s">
        <v>650</v>
      </c>
      <c r="AB136" t="s">
        <v>649</v>
      </c>
      <c r="AC136" t="s">
        <v>491</v>
      </c>
      <c r="AD136" t="s">
        <v>492</v>
      </c>
      <c r="AE136" t="s">
        <v>649</v>
      </c>
      <c r="AG136">
        <v>3099.87</v>
      </c>
      <c r="AH136">
        <v>78.89</v>
      </c>
      <c r="AI136">
        <v>54.25</v>
      </c>
      <c r="AJ136">
        <v>3233.01</v>
      </c>
      <c r="AK136">
        <v>0</v>
      </c>
      <c r="AL136">
        <v>517.28</v>
      </c>
      <c r="AM136">
        <v>64.66</v>
      </c>
      <c r="AN136">
        <v>21.33</v>
      </c>
      <c r="AO136">
        <v>21.94</v>
      </c>
      <c r="AP136">
        <v>22</v>
      </c>
      <c r="AQ136" t="s">
        <v>82</v>
      </c>
      <c r="AR136">
        <v>146.95500000000001</v>
      </c>
      <c r="AS136">
        <v>22</v>
      </c>
      <c r="AT136" t="s">
        <v>107</v>
      </c>
      <c r="AU136" t="s">
        <v>84</v>
      </c>
      <c r="AV136">
        <v>0</v>
      </c>
      <c r="AW136" t="s">
        <v>85</v>
      </c>
      <c r="AY136" t="s">
        <v>108</v>
      </c>
      <c r="AZ136" t="s">
        <v>493</v>
      </c>
      <c r="BA136" t="s">
        <v>170</v>
      </c>
      <c r="BB136" t="s">
        <v>90</v>
      </c>
      <c r="BC136">
        <v>22329</v>
      </c>
      <c r="BD136">
        <v>20240824</v>
      </c>
      <c r="BE136">
        <v>140.90299999999999</v>
      </c>
      <c r="BF136" t="s">
        <v>494</v>
      </c>
      <c r="BG136" t="s">
        <v>495</v>
      </c>
      <c r="BH136">
        <v>20240821</v>
      </c>
      <c r="BJ136" t="s">
        <v>112</v>
      </c>
    </row>
    <row r="137" spans="1:62" ht="12.75" x14ac:dyDescent="0.2">
      <c r="A137">
        <v>23</v>
      </c>
      <c r="B137">
        <v>8</v>
      </c>
      <c r="C137">
        <v>2024</v>
      </c>
      <c r="D137">
        <v>129877</v>
      </c>
      <c r="E137">
        <v>3</v>
      </c>
      <c r="F137" t="s">
        <v>65</v>
      </c>
      <c r="G137" t="s">
        <v>66</v>
      </c>
      <c r="H137">
        <v>20550731399</v>
      </c>
      <c r="I137" t="s">
        <v>67</v>
      </c>
      <c r="J137" t="s">
        <v>68</v>
      </c>
      <c r="K137" t="s">
        <v>69</v>
      </c>
      <c r="L137" t="s">
        <v>69</v>
      </c>
      <c r="M137" t="s">
        <v>70</v>
      </c>
      <c r="N137" t="s">
        <v>71</v>
      </c>
      <c r="O137" t="s">
        <v>71</v>
      </c>
      <c r="P137" t="s">
        <v>72</v>
      </c>
      <c r="Q137" t="s">
        <v>73</v>
      </c>
      <c r="R137" t="s">
        <v>149</v>
      </c>
      <c r="S137" t="s">
        <v>149</v>
      </c>
      <c r="T137" t="s">
        <v>406</v>
      </c>
      <c r="U137">
        <v>8413919000</v>
      </c>
      <c r="V137" t="s">
        <v>229</v>
      </c>
      <c r="W137" t="s">
        <v>651</v>
      </c>
      <c r="X137" t="s">
        <v>156</v>
      </c>
      <c r="Y137" t="s">
        <v>498</v>
      </c>
      <c r="Z137" t="s">
        <v>652</v>
      </c>
      <c r="AA137" t="s">
        <v>653</v>
      </c>
      <c r="AB137" t="s">
        <v>652</v>
      </c>
      <c r="AC137" t="s">
        <v>491</v>
      </c>
      <c r="AD137" t="s">
        <v>492</v>
      </c>
      <c r="AE137" t="s">
        <v>652</v>
      </c>
      <c r="AG137">
        <v>185.68</v>
      </c>
      <c r="AH137">
        <v>4.72</v>
      </c>
      <c r="AI137">
        <v>1.86</v>
      </c>
      <c r="AJ137">
        <v>192.26</v>
      </c>
      <c r="AK137">
        <v>0</v>
      </c>
      <c r="AL137">
        <v>30.76</v>
      </c>
      <c r="AM137">
        <v>3.85</v>
      </c>
      <c r="AN137">
        <v>1.28</v>
      </c>
      <c r="AO137">
        <v>1.31</v>
      </c>
      <c r="AP137">
        <v>2</v>
      </c>
      <c r="AQ137" t="s">
        <v>82</v>
      </c>
      <c r="AR137">
        <v>96.131</v>
      </c>
      <c r="AS137">
        <v>2</v>
      </c>
      <c r="AT137" t="s">
        <v>107</v>
      </c>
      <c r="AU137" t="s">
        <v>84</v>
      </c>
      <c r="AV137">
        <v>0</v>
      </c>
      <c r="AW137" t="s">
        <v>85</v>
      </c>
      <c r="AY137" t="s">
        <v>108</v>
      </c>
      <c r="AZ137" t="s">
        <v>493</v>
      </c>
      <c r="BA137" t="s">
        <v>170</v>
      </c>
      <c r="BB137" t="s">
        <v>90</v>
      </c>
      <c r="BC137">
        <v>22329</v>
      </c>
      <c r="BD137">
        <v>20240824</v>
      </c>
      <c r="BE137">
        <v>92.84</v>
      </c>
      <c r="BF137" t="s">
        <v>494</v>
      </c>
      <c r="BG137" t="s">
        <v>495</v>
      </c>
      <c r="BH137">
        <v>20240821</v>
      </c>
      <c r="BJ137" t="s">
        <v>112</v>
      </c>
    </row>
    <row r="138" spans="1:62" ht="12.75" x14ac:dyDescent="0.2">
      <c r="A138">
        <v>23</v>
      </c>
      <c r="B138">
        <v>8</v>
      </c>
      <c r="C138">
        <v>2024</v>
      </c>
      <c r="D138">
        <v>129877</v>
      </c>
      <c r="E138">
        <v>8</v>
      </c>
      <c r="F138" t="s">
        <v>65</v>
      </c>
      <c r="G138" t="s">
        <v>66</v>
      </c>
      <c r="H138">
        <v>20550731399</v>
      </c>
      <c r="I138" t="s">
        <v>67</v>
      </c>
      <c r="J138" t="s">
        <v>68</v>
      </c>
      <c r="K138" t="s">
        <v>69</v>
      </c>
      <c r="L138" t="s">
        <v>69</v>
      </c>
      <c r="M138" t="s">
        <v>70</v>
      </c>
      <c r="N138" t="s">
        <v>71</v>
      </c>
      <c r="O138" t="s">
        <v>71</v>
      </c>
      <c r="P138" t="s">
        <v>72</v>
      </c>
      <c r="Q138" t="s">
        <v>73</v>
      </c>
      <c r="R138" t="s">
        <v>149</v>
      </c>
      <c r="S138" t="s">
        <v>149</v>
      </c>
      <c r="T138" t="s">
        <v>406</v>
      </c>
      <c r="U138">
        <v>8482100000</v>
      </c>
      <c r="V138" t="s">
        <v>530</v>
      </c>
      <c r="W138" t="s">
        <v>531</v>
      </c>
      <c r="X138" t="s">
        <v>654</v>
      </c>
      <c r="Y138" t="s">
        <v>488</v>
      </c>
      <c r="Z138" t="s">
        <v>534</v>
      </c>
      <c r="AA138" t="s">
        <v>655</v>
      </c>
      <c r="AB138" t="s">
        <v>534</v>
      </c>
      <c r="AC138" t="s">
        <v>491</v>
      </c>
      <c r="AD138" t="s">
        <v>492</v>
      </c>
      <c r="AE138" t="s">
        <v>534</v>
      </c>
      <c r="AG138">
        <v>68.48</v>
      </c>
      <c r="AH138">
        <v>1.74</v>
      </c>
      <c r="AI138">
        <v>1.03</v>
      </c>
      <c r="AJ138">
        <v>71.25</v>
      </c>
      <c r="AK138">
        <v>0</v>
      </c>
      <c r="AL138">
        <v>11.4</v>
      </c>
      <c r="AM138">
        <v>1.43</v>
      </c>
      <c r="AN138">
        <v>0.47</v>
      </c>
      <c r="AO138">
        <v>0.49</v>
      </c>
      <c r="AP138">
        <v>1</v>
      </c>
      <c r="AQ138" t="s">
        <v>82</v>
      </c>
      <c r="AR138">
        <v>71.25</v>
      </c>
      <c r="AS138">
        <v>1</v>
      </c>
      <c r="AT138" t="s">
        <v>107</v>
      </c>
      <c r="AU138" t="s">
        <v>84</v>
      </c>
      <c r="AV138">
        <v>0</v>
      </c>
      <c r="AW138" t="s">
        <v>85</v>
      </c>
      <c r="AY138" t="s">
        <v>108</v>
      </c>
      <c r="AZ138" t="s">
        <v>493</v>
      </c>
      <c r="BA138" t="s">
        <v>170</v>
      </c>
      <c r="BB138" t="s">
        <v>90</v>
      </c>
      <c r="BC138">
        <v>22329</v>
      </c>
      <c r="BD138">
        <v>20240824</v>
      </c>
      <c r="BE138">
        <v>68.48</v>
      </c>
      <c r="BF138" t="s">
        <v>494</v>
      </c>
      <c r="BG138" t="s">
        <v>495</v>
      </c>
      <c r="BH138">
        <v>20240821</v>
      </c>
      <c r="BJ138" t="s">
        <v>112</v>
      </c>
    </row>
    <row r="139" spans="1:62" ht="12.75" x14ac:dyDescent="0.2">
      <c r="A139">
        <v>23</v>
      </c>
      <c r="B139">
        <v>8</v>
      </c>
      <c r="C139">
        <v>2024</v>
      </c>
      <c r="D139">
        <v>129877</v>
      </c>
      <c r="E139">
        <v>12</v>
      </c>
      <c r="F139" t="s">
        <v>65</v>
      </c>
      <c r="G139" t="s">
        <v>66</v>
      </c>
      <c r="H139">
        <v>20550731399</v>
      </c>
      <c r="I139" t="s">
        <v>67</v>
      </c>
      <c r="J139" t="s">
        <v>68</v>
      </c>
      <c r="K139" t="s">
        <v>69</v>
      </c>
      <c r="L139" t="s">
        <v>69</v>
      </c>
      <c r="M139" t="s">
        <v>70</v>
      </c>
      <c r="N139" t="s">
        <v>71</v>
      </c>
      <c r="O139" t="s">
        <v>71</v>
      </c>
      <c r="P139" t="s">
        <v>72</v>
      </c>
      <c r="Q139" t="s">
        <v>73</v>
      </c>
      <c r="R139" t="s">
        <v>149</v>
      </c>
      <c r="S139" t="s">
        <v>149</v>
      </c>
      <c r="T139" t="s">
        <v>406</v>
      </c>
      <c r="U139">
        <v>4016930000</v>
      </c>
      <c r="V139" t="s">
        <v>76</v>
      </c>
      <c r="W139" t="s">
        <v>487</v>
      </c>
      <c r="X139" t="s">
        <v>656</v>
      </c>
      <c r="Y139" t="s">
        <v>506</v>
      </c>
      <c r="Z139" t="s">
        <v>489</v>
      </c>
      <c r="AA139" t="s">
        <v>657</v>
      </c>
      <c r="AB139" t="s">
        <v>489</v>
      </c>
      <c r="AC139" t="s">
        <v>491</v>
      </c>
      <c r="AD139" t="s">
        <v>492</v>
      </c>
      <c r="AE139" t="s">
        <v>489</v>
      </c>
      <c r="AG139">
        <v>1.32</v>
      </c>
      <c r="AH139">
        <v>0.04</v>
      </c>
      <c r="AI139">
        <v>0.02</v>
      </c>
      <c r="AJ139">
        <v>1.38</v>
      </c>
      <c r="AK139">
        <v>0.08</v>
      </c>
      <c r="AL139">
        <v>0.23</v>
      </c>
      <c r="AM139">
        <v>0.03</v>
      </c>
      <c r="AN139">
        <v>0.01</v>
      </c>
      <c r="AO139">
        <v>0.01</v>
      </c>
      <c r="AP139">
        <v>2</v>
      </c>
      <c r="AQ139" t="s">
        <v>82</v>
      </c>
      <c r="AR139">
        <v>0.69099999999999995</v>
      </c>
      <c r="AS139">
        <v>2</v>
      </c>
      <c r="AT139" t="s">
        <v>107</v>
      </c>
      <c r="AU139" t="s">
        <v>84</v>
      </c>
      <c r="AV139">
        <v>0</v>
      </c>
      <c r="AW139" t="s">
        <v>85</v>
      </c>
      <c r="AY139" t="s">
        <v>108</v>
      </c>
      <c r="AZ139" t="s">
        <v>493</v>
      </c>
      <c r="BA139" t="s">
        <v>170</v>
      </c>
      <c r="BB139" t="s">
        <v>90</v>
      </c>
      <c r="BC139">
        <v>22329</v>
      </c>
      <c r="BD139">
        <v>20240824</v>
      </c>
      <c r="BE139">
        <v>0.66</v>
      </c>
      <c r="BF139" t="s">
        <v>494</v>
      </c>
      <c r="BG139" t="s">
        <v>495</v>
      </c>
      <c r="BH139">
        <v>20240821</v>
      </c>
      <c r="BJ139" t="s">
        <v>112</v>
      </c>
    </row>
    <row r="140" spans="1:62" ht="12.75" x14ac:dyDescent="0.2">
      <c r="A140">
        <v>23</v>
      </c>
      <c r="B140">
        <v>8</v>
      </c>
      <c r="C140">
        <v>2024</v>
      </c>
      <c r="D140">
        <v>129877</v>
      </c>
      <c r="E140">
        <v>20</v>
      </c>
      <c r="F140" t="s">
        <v>65</v>
      </c>
      <c r="G140" t="s">
        <v>66</v>
      </c>
      <c r="H140">
        <v>20550731399</v>
      </c>
      <c r="I140" t="s">
        <v>67</v>
      </c>
      <c r="J140" t="s">
        <v>68</v>
      </c>
      <c r="K140" t="s">
        <v>69</v>
      </c>
      <c r="L140" t="s">
        <v>69</v>
      </c>
      <c r="M140" t="s">
        <v>70</v>
      </c>
      <c r="N140" t="s">
        <v>71</v>
      </c>
      <c r="O140" t="s">
        <v>71</v>
      </c>
      <c r="P140" t="s">
        <v>72</v>
      </c>
      <c r="Q140" t="s">
        <v>73</v>
      </c>
      <c r="R140" t="s">
        <v>149</v>
      </c>
      <c r="S140" t="s">
        <v>149</v>
      </c>
      <c r="T140" t="s">
        <v>406</v>
      </c>
      <c r="U140">
        <v>4016930000</v>
      </c>
      <c r="V140" t="s">
        <v>76</v>
      </c>
      <c r="W140" t="s">
        <v>487</v>
      </c>
      <c r="X140" t="s">
        <v>579</v>
      </c>
      <c r="Y140" t="s">
        <v>506</v>
      </c>
      <c r="Z140" t="s">
        <v>489</v>
      </c>
      <c r="AA140" t="s">
        <v>658</v>
      </c>
      <c r="AB140" t="s">
        <v>489</v>
      </c>
      <c r="AC140" t="s">
        <v>491</v>
      </c>
      <c r="AD140" t="s">
        <v>492</v>
      </c>
      <c r="AE140" t="s">
        <v>489</v>
      </c>
      <c r="AG140">
        <v>10.31</v>
      </c>
      <c r="AH140">
        <v>0.26</v>
      </c>
      <c r="AI140">
        <v>0.18</v>
      </c>
      <c r="AJ140">
        <v>10.76</v>
      </c>
      <c r="AK140">
        <v>0.65</v>
      </c>
      <c r="AL140">
        <v>1.83</v>
      </c>
      <c r="AM140">
        <v>0.23</v>
      </c>
      <c r="AN140">
        <v>7.0000000000000007E-2</v>
      </c>
      <c r="AO140">
        <v>7.0000000000000007E-2</v>
      </c>
      <c r="AP140">
        <v>2</v>
      </c>
      <c r="AQ140" t="s">
        <v>82</v>
      </c>
      <c r="AR140">
        <v>5.3780000000000001</v>
      </c>
      <c r="AS140">
        <v>2</v>
      </c>
      <c r="AT140" t="s">
        <v>107</v>
      </c>
      <c r="AU140" t="s">
        <v>84</v>
      </c>
      <c r="AV140">
        <v>0</v>
      </c>
      <c r="AW140" t="s">
        <v>85</v>
      </c>
      <c r="AY140" t="s">
        <v>108</v>
      </c>
      <c r="AZ140" t="s">
        <v>493</v>
      </c>
      <c r="BA140" t="s">
        <v>170</v>
      </c>
      <c r="BB140" t="s">
        <v>90</v>
      </c>
      <c r="BC140">
        <v>22329</v>
      </c>
      <c r="BD140">
        <v>20240824</v>
      </c>
      <c r="BE140">
        <v>5.1550000000000002</v>
      </c>
      <c r="BF140" t="s">
        <v>494</v>
      </c>
      <c r="BG140" t="s">
        <v>495</v>
      </c>
      <c r="BH140">
        <v>20240821</v>
      </c>
      <c r="BJ140" t="s">
        <v>112</v>
      </c>
    </row>
    <row r="141" spans="1:62" ht="12.75" x14ac:dyDescent="0.2">
      <c r="A141">
        <v>23</v>
      </c>
      <c r="B141">
        <v>8</v>
      </c>
      <c r="C141">
        <v>2024</v>
      </c>
      <c r="D141">
        <v>129877</v>
      </c>
      <c r="E141">
        <v>21</v>
      </c>
      <c r="F141" t="s">
        <v>65</v>
      </c>
      <c r="G141" t="s">
        <v>66</v>
      </c>
      <c r="H141">
        <v>20550731399</v>
      </c>
      <c r="I141" t="s">
        <v>67</v>
      </c>
      <c r="J141" t="s">
        <v>68</v>
      </c>
      <c r="K141" t="s">
        <v>69</v>
      </c>
      <c r="L141" t="s">
        <v>69</v>
      </c>
      <c r="M141" t="s">
        <v>70</v>
      </c>
      <c r="N141" t="s">
        <v>71</v>
      </c>
      <c r="O141" t="s">
        <v>71</v>
      </c>
      <c r="P141" t="s">
        <v>72</v>
      </c>
      <c r="Q141" t="s">
        <v>73</v>
      </c>
      <c r="R141" t="s">
        <v>149</v>
      </c>
      <c r="S141" t="s">
        <v>149</v>
      </c>
      <c r="T141" t="s">
        <v>406</v>
      </c>
      <c r="U141">
        <v>4016930000</v>
      </c>
      <c r="V141" t="s">
        <v>76</v>
      </c>
      <c r="W141" t="s">
        <v>496</v>
      </c>
      <c r="X141" t="s">
        <v>659</v>
      </c>
      <c r="Y141" t="s">
        <v>516</v>
      </c>
      <c r="Z141" t="s">
        <v>499</v>
      </c>
      <c r="AA141" t="s">
        <v>660</v>
      </c>
      <c r="AB141" t="s">
        <v>499</v>
      </c>
      <c r="AC141" t="s">
        <v>491</v>
      </c>
      <c r="AD141" t="s">
        <v>492</v>
      </c>
      <c r="AE141" t="s">
        <v>499</v>
      </c>
      <c r="AG141">
        <v>181.4</v>
      </c>
      <c r="AH141">
        <v>4.62</v>
      </c>
      <c r="AI141">
        <v>3.17</v>
      </c>
      <c r="AJ141">
        <v>189.19</v>
      </c>
      <c r="AK141">
        <v>11.35</v>
      </c>
      <c r="AL141">
        <v>32.090000000000003</v>
      </c>
      <c r="AM141">
        <v>4.01</v>
      </c>
      <c r="AN141">
        <v>1.25</v>
      </c>
      <c r="AO141">
        <v>1.28</v>
      </c>
      <c r="AP141">
        <v>1</v>
      </c>
      <c r="AQ141" t="s">
        <v>82</v>
      </c>
      <c r="AR141">
        <v>189.19</v>
      </c>
      <c r="AS141">
        <v>1</v>
      </c>
      <c r="AT141" t="s">
        <v>107</v>
      </c>
      <c r="AU141" t="s">
        <v>84</v>
      </c>
      <c r="AV141">
        <v>0</v>
      </c>
      <c r="AW141" t="s">
        <v>85</v>
      </c>
      <c r="AY141" t="s">
        <v>108</v>
      </c>
      <c r="AZ141" t="s">
        <v>493</v>
      </c>
      <c r="BA141" t="s">
        <v>170</v>
      </c>
      <c r="BB141" t="s">
        <v>90</v>
      </c>
      <c r="BC141">
        <v>22329</v>
      </c>
      <c r="BD141">
        <v>20240824</v>
      </c>
      <c r="BE141">
        <v>181.4</v>
      </c>
      <c r="BF141" t="s">
        <v>494</v>
      </c>
      <c r="BG141" t="s">
        <v>495</v>
      </c>
      <c r="BH141">
        <v>20240821</v>
      </c>
      <c r="BJ141" t="s">
        <v>112</v>
      </c>
    </row>
    <row r="142" spans="1:62" ht="12.75" x14ac:dyDescent="0.2">
      <c r="A142">
        <v>23</v>
      </c>
      <c r="B142">
        <v>8</v>
      </c>
      <c r="C142">
        <v>2024</v>
      </c>
      <c r="D142">
        <v>129877</v>
      </c>
      <c r="E142">
        <v>25</v>
      </c>
      <c r="F142" t="s">
        <v>65</v>
      </c>
      <c r="G142" t="s">
        <v>66</v>
      </c>
      <c r="H142">
        <v>20550731399</v>
      </c>
      <c r="I142" t="s">
        <v>67</v>
      </c>
      <c r="J142" t="s">
        <v>68</v>
      </c>
      <c r="K142" t="s">
        <v>69</v>
      </c>
      <c r="L142" t="s">
        <v>69</v>
      </c>
      <c r="M142" t="s">
        <v>70</v>
      </c>
      <c r="N142" t="s">
        <v>71</v>
      </c>
      <c r="O142" t="s">
        <v>71</v>
      </c>
      <c r="P142" t="s">
        <v>72</v>
      </c>
      <c r="Q142" t="s">
        <v>73</v>
      </c>
      <c r="R142" t="s">
        <v>149</v>
      </c>
      <c r="S142" t="s">
        <v>149</v>
      </c>
      <c r="T142" t="s">
        <v>406</v>
      </c>
      <c r="U142">
        <v>8477900000</v>
      </c>
      <c r="V142" t="s">
        <v>661</v>
      </c>
      <c r="W142" t="s">
        <v>662</v>
      </c>
      <c r="X142">
        <v>2016582</v>
      </c>
      <c r="Y142" t="s">
        <v>634</v>
      </c>
      <c r="Z142" t="s">
        <v>663</v>
      </c>
      <c r="AA142" t="s">
        <v>664</v>
      </c>
      <c r="AB142" t="s">
        <v>663</v>
      </c>
      <c r="AC142" t="s">
        <v>491</v>
      </c>
      <c r="AD142" t="s">
        <v>492</v>
      </c>
      <c r="AE142" t="s">
        <v>663</v>
      </c>
      <c r="AG142">
        <v>1166.6199999999999</v>
      </c>
      <c r="AH142">
        <v>29.69</v>
      </c>
      <c r="AI142">
        <v>11.67</v>
      </c>
      <c r="AJ142">
        <v>1207.98</v>
      </c>
      <c r="AK142">
        <v>0</v>
      </c>
      <c r="AL142">
        <v>193.28</v>
      </c>
      <c r="AM142">
        <v>24.16</v>
      </c>
      <c r="AN142">
        <v>8.0299999999999994</v>
      </c>
      <c r="AO142">
        <v>8.26</v>
      </c>
      <c r="AP142">
        <v>1</v>
      </c>
      <c r="AQ142" t="s">
        <v>82</v>
      </c>
      <c r="AR142">
        <v>1207.9770000000001</v>
      </c>
      <c r="AS142">
        <v>1</v>
      </c>
      <c r="AT142" t="s">
        <v>107</v>
      </c>
      <c r="AU142" t="s">
        <v>84</v>
      </c>
      <c r="AV142">
        <v>0</v>
      </c>
      <c r="AW142" t="s">
        <v>85</v>
      </c>
      <c r="AY142" t="s">
        <v>108</v>
      </c>
      <c r="AZ142" t="s">
        <v>493</v>
      </c>
      <c r="BA142" t="s">
        <v>170</v>
      </c>
      <c r="BB142" t="s">
        <v>90</v>
      </c>
      <c r="BC142">
        <v>22329</v>
      </c>
      <c r="BD142">
        <v>20240824</v>
      </c>
      <c r="BE142">
        <v>1166.6199999999999</v>
      </c>
      <c r="BF142" t="s">
        <v>494</v>
      </c>
      <c r="BG142" t="s">
        <v>495</v>
      </c>
      <c r="BH142">
        <v>20240821</v>
      </c>
      <c r="BJ142" t="s">
        <v>112</v>
      </c>
    </row>
    <row r="143" spans="1:62" ht="12.75" x14ac:dyDescent="0.2">
      <c r="A143">
        <v>23</v>
      </c>
      <c r="B143">
        <v>8</v>
      </c>
      <c r="C143">
        <v>2024</v>
      </c>
      <c r="D143">
        <v>129877</v>
      </c>
      <c r="E143">
        <v>29</v>
      </c>
      <c r="F143" t="s">
        <v>65</v>
      </c>
      <c r="G143" t="s">
        <v>66</v>
      </c>
      <c r="H143">
        <v>20550731399</v>
      </c>
      <c r="I143" t="s">
        <v>67</v>
      </c>
      <c r="J143" t="s">
        <v>68</v>
      </c>
      <c r="K143" t="s">
        <v>69</v>
      </c>
      <c r="L143" t="s">
        <v>69</v>
      </c>
      <c r="M143" t="s">
        <v>70</v>
      </c>
      <c r="N143" t="s">
        <v>71</v>
      </c>
      <c r="O143" t="s">
        <v>71</v>
      </c>
      <c r="P143" t="s">
        <v>72</v>
      </c>
      <c r="Q143" t="s">
        <v>73</v>
      </c>
      <c r="R143" t="s">
        <v>149</v>
      </c>
      <c r="S143" t="s">
        <v>149</v>
      </c>
      <c r="T143" t="s">
        <v>406</v>
      </c>
      <c r="U143">
        <v>4016930000</v>
      </c>
      <c r="V143" t="s">
        <v>76</v>
      </c>
      <c r="W143" t="s">
        <v>487</v>
      </c>
      <c r="X143" t="s">
        <v>665</v>
      </c>
      <c r="Y143" t="s">
        <v>637</v>
      </c>
      <c r="Z143" t="s">
        <v>489</v>
      </c>
      <c r="AA143" t="s">
        <v>666</v>
      </c>
      <c r="AB143" t="s">
        <v>489</v>
      </c>
      <c r="AC143" t="s">
        <v>491</v>
      </c>
      <c r="AD143" t="s">
        <v>492</v>
      </c>
      <c r="AE143" t="s">
        <v>489</v>
      </c>
      <c r="AG143">
        <v>7.57</v>
      </c>
      <c r="AH143">
        <v>0.19</v>
      </c>
      <c r="AI143">
        <v>0.13</v>
      </c>
      <c r="AJ143">
        <v>7.9</v>
      </c>
      <c r="AK143">
        <v>0.47</v>
      </c>
      <c r="AL143">
        <v>1.34</v>
      </c>
      <c r="AM143">
        <v>0.17</v>
      </c>
      <c r="AN143">
        <v>0.05</v>
      </c>
      <c r="AO143">
        <v>0.05</v>
      </c>
      <c r="AP143">
        <v>1</v>
      </c>
      <c r="AQ143" t="s">
        <v>82</v>
      </c>
      <c r="AR143">
        <v>7.8959999999999999</v>
      </c>
      <c r="AS143">
        <v>1</v>
      </c>
      <c r="AT143" t="s">
        <v>107</v>
      </c>
      <c r="AU143" t="s">
        <v>84</v>
      </c>
      <c r="AV143">
        <v>0</v>
      </c>
      <c r="AW143" t="s">
        <v>85</v>
      </c>
      <c r="AY143" t="s">
        <v>108</v>
      </c>
      <c r="AZ143" t="s">
        <v>493</v>
      </c>
      <c r="BA143" t="s">
        <v>170</v>
      </c>
      <c r="BB143" t="s">
        <v>90</v>
      </c>
      <c r="BC143">
        <v>22329</v>
      </c>
      <c r="BD143">
        <v>20240824</v>
      </c>
      <c r="BE143">
        <v>7.57</v>
      </c>
      <c r="BF143" t="s">
        <v>494</v>
      </c>
      <c r="BG143" t="s">
        <v>495</v>
      </c>
      <c r="BH143">
        <v>20240821</v>
      </c>
      <c r="BJ143" t="s">
        <v>112</v>
      </c>
    </row>
    <row r="144" spans="1:62" ht="12.75" x14ac:dyDescent="0.2">
      <c r="A144">
        <v>23</v>
      </c>
      <c r="B144">
        <v>8</v>
      </c>
      <c r="C144">
        <v>2024</v>
      </c>
      <c r="D144">
        <v>129877</v>
      </c>
      <c r="E144">
        <v>33</v>
      </c>
      <c r="F144" t="s">
        <v>65</v>
      </c>
      <c r="G144" t="s">
        <v>66</v>
      </c>
      <c r="H144">
        <v>20550731399</v>
      </c>
      <c r="I144" t="s">
        <v>67</v>
      </c>
      <c r="J144" t="s">
        <v>68</v>
      </c>
      <c r="K144" t="s">
        <v>69</v>
      </c>
      <c r="L144" t="s">
        <v>69</v>
      </c>
      <c r="M144" t="s">
        <v>70</v>
      </c>
      <c r="N144" t="s">
        <v>71</v>
      </c>
      <c r="O144" t="s">
        <v>71</v>
      </c>
      <c r="P144" t="s">
        <v>72</v>
      </c>
      <c r="Q144" t="s">
        <v>73</v>
      </c>
      <c r="R144" t="s">
        <v>149</v>
      </c>
      <c r="S144" t="s">
        <v>149</v>
      </c>
      <c r="T144" t="s">
        <v>406</v>
      </c>
      <c r="U144">
        <v>4016930000</v>
      </c>
      <c r="V144" t="s">
        <v>76</v>
      </c>
      <c r="W144" t="s">
        <v>504</v>
      </c>
      <c r="X144" t="s">
        <v>667</v>
      </c>
      <c r="Y144" t="s">
        <v>524</v>
      </c>
      <c r="Z144" t="s">
        <v>507</v>
      </c>
      <c r="AA144" t="s">
        <v>668</v>
      </c>
      <c r="AB144" t="s">
        <v>507</v>
      </c>
      <c r="AC144" t="s">
        <v>491</v>
      </c>
      <c r="AD144" t="s">
        <v>492</v>
      </c>
      <c r="AE144" t="s">
        <v>507</v>
      </c>
      <c r="AG144">
        <v>2.41</v>
      </c>
      <c r="AH144">
        <v>0.06</v>
      </c>
      <c r="AI144">
        <v>0.04</v>
      </c>
      <c r="AJ144">
        <v>2.5099999999999998</v>
      </c>
      <c r="AK144">
        <v>0.15</v>
      </c>
      <c r="AL144">
        <v>0.43</v>
      </c>
      <c r="AM144">
        <v>0.05</v>
      </c>
      <c r="AN144">
        <v>0.02</v>
      </c>
      <c r="AO144">
        <v>0.02</v>
      </c>
      <c r="AP144">
        <v>1</v>
      </c>
      <c r="AQ144" t="s">
        <v>82</v>
      </c>
      <c r="AR144">
        <v>2.512</v>
      </c>
      <c r="AS144">
        <v>1</v>
      </c>
      <c r="AT144" t="s">
        <v>107</v>
      </c>
      <c r="AU144" t="s">
        <v>84</v>
      </c>
      <c r="AV144">
        <v>0</v>
      </c>
      <c r="AW144" t="s">
        <v>85</v>
      </c>
      <c r="AY144" t="s">
        <v>108</v>
      </c>
      <c r="AZ144" t="s">
        <v>493</v>
      </c>
      <c r="BA144" t="s">
        <v>170</v>
      </c>
      <c r="BB144" t="s">
        <v>90</v>
      </c>
      <c r="BC144">
        <v>22329</v>
      </c>
      <c r="BD144">
        <v>20240824</v>
      </c>
      <c r="BE144">
        <v>2.41</v>
      </c>
      <c r="BF144" t="s">
        <v>494</v>
      </c>
      <c r="BG144" t="s">
        <v>495</v>
      </c>
      <c r="BH144">
        <v>20240821</v>
      </c>
      <c r="BJ144" t="s">
        <v>112</v>
      </c>
    </row>
    <row r="145" spans="1:62" ht="12.75" x14ac:dyDescent="0.2">
      <c r="A145">
        <v>23</v>
      </c>
      <c r="B145">
        <v>8</v>
      </c>
      <c r="C145">
        <v>2024</v>
      </c>
      <c r="D145">
        <v>129877</v>
      </c>
      <c r="E145">
        <v>40</v>
      </c>
      <c r="F145" t="s">
        <v>65</v>
      </c>
      <c r="G145" t="s">
        <v>66</v>
      </c>
      <c r="H145">
        <v>20550731399</v>
      </c>
      <c r="I145" t="s">
        <v>67</v>
      </c>
      <c r="J145" t="s">
        <v>68</v>
      </c>
      <c r="K145" t="s">
        <v>69</v>
      </c>
      <c r="L145" t="s">
        <v>69</v>
      </c>
      <c r="M145" t="s">
        <v>70</v>
      </c>
      <c r="N145" t="s">
        <v>71</v>
      </c>
      <c r="O145" t="s">
        <v>71</v>
      </c>
      <c r="P145" t="s">
        <v>72</v>
      </c>
      <c r="Q145" t="s">
        <v>73</v>
      </c>
      <c r="R145" t="s">
        <v>149</v>
      </c>
      <c r="S145" t="s">
        <v>149</v>
      </c>
      <c r="T145" t="s">
        <v>406</v>
      </c>
      <c r="U145">
        <v>7318220000</v>
      </c>
      <c r="V145" t="s">
        <v>247</v>
      </c>
      <c r="W145" t="s">
        <v>669</v>
      </c>
      <c r="X145" t="s">
        <v>670</v>
      </c>
      <c r="Y145" t="s">
        <v>533</v>
      </c>
      <c r="Z145" t="s">
        <v>671</v>
      </c>
      <c r="AA145" t="s">
        <v>672</v>
      </c>
      <c r="AB145" t="s">
        <v>671</v>
      </c>
      <c r="AC145" t="s">
        <v>491</v>
      </c>
      <c r="AD145" t="s">
        <v>492</v>
      </c>
      <c r="AE145" t="s">
        <v>671</v>
      </c>
      <c r="AG145">
        <v>63.65</v>
      </c>
      <c r="AH145">
        <v>1.62</v>
      </c>
      <c r="AI145">
        <v>1.75</v>
      </c>
      <c r="AJ145">
        <v>67.02</v>
      </c>
      <c r="AK145">
        <v>4.0199999999999996</v>
      </c>
      <c r="AL145">
        <v>11.37</v>
      </c>
      <c r="AM145">
        <v>1.42</v>
      </c>
      <c r="AN145">
        <v>0.44</v>
      </c>
      <c r="AO145">
        <v>0.45</v>
      </c>
      <c r="AP145">
        <v>0.44</v>
      </c>
      <c r="AQ145" t="s">
        <v>251</v>
      </c>
      <c r="AR145">
        <v>152.31800000000001</v>
      </c>
      <c r="AS145">
        <v>2</v>
      </c>
      <c r="AT145" t="s">
        <v>107</v>
      </c>
      <c r="AU145" t="s">
        <v>84</v>
      </c>
      <c r="AV145">
        <v>0</v>
      </c>
      <c r="AW145" t="s">
        <v>85</v>
      </c>
      <c r="AY145" t="s">
        <v>108</v>
      </c>
      <c r="AZ145" t="s">
        <v>493</v>
      </c>
      <c r="BA145" t="s">
        <v>170</v>
      </c>
      <c r="BB145" t="s">
        <v>90</v>
      </c>
      <c r="BC145">
        <v>22329</v>
      </c>
      <c r="BD145">
        <v>20240824</v>
      </c>
      <c r="BE145">
        <v>144.65899999999999</v>
      </c>
      <c r="BF145" t="s">
        <v>494</v>
      </c>
      <c r="BG145" t="s">
        <v>495</v>
      </c>
      <c r="BH145">
        <v>20240821</v>
      </c>
      <c r="BJ145" t="s">
        <v>112</v>
      </c>
    </row>
    <row r="146" spans="1:62" ht="12.75" x14ac:dyDescent="0.2">
      <c r="A146">
        <v>23</v>
      </c>
      <c r="B146">
        <v>8</v>
      </c>
      <c r="C146">
        <v>2024</v>
      </c>
      <c r="D146">
        <v>129877</v>
      </c>
      <c r="E146">
        <v>42</v>
      </c>
      <c r="F146" t="s">
        <v>65</v>
      </c>
      <c r="G146" t="s">
        <v>66</v>
      </c>
      <c r="H146">
        <v>20550731399</v>
      </c>
      <c r="I146" t="s">
        <v>67</v>
      </c>
      <c r="J146" t="s">
        <v>68</v>
      </c>
      <c r="K146" t="s">
        <v>69</v>
      </c>
      <c r="L146" t="s">
        <v>69</v>
      </c>
      <c r="M146" t="s">
        <v>70</v>
      </c>
      <c r="N146" t="s">
        <v>71</v>
      </c>
      <c r="O146" t="s">
        <v>71</v>
      </c>
      <c r="P146" t="s">
        <v>72</v>
      </c>
      <c r="Q146" t="s">
        <v>73</v>
      </c>
      <c r="R146" t="s">
        <v>149</v>
      </c>
      <c r="S146" t="s">
        <v>149</v>
      </c>
      <c r="T146" t="s">
        <v>406</v>
      </c>
      <c r="U146">
        <v>7217900000</v>
      </c>
      <c r="V146" t="s">
        <v>607</v>
      </c>
      <c r="W146" t="s">
        <v>673</v>
      </c>
      <c r="X146" t="s">
        <v>674</v>
      </c>
      <c r="Y146" t="s">
        <v>533</v>
      </c>
      <c r="Z146" t="s">
        <v>675</v>
      </c>
      <c r="AA146" t="s">
        <v>676</v>
      </c>
      <c r="AB146" t="s">
        <v>675</v>
      </c>
      <c r="AC146" t="s">
        <v>491</v>
      </c>
      <c r="AD146" t="s">
        <v>492</v>
      </c>
      <c r="AE146" t="s">
        <v>675</v>
      </c>
      <c r="AG146">
        <v>110.62</v>
      </c>
      <c r="AH146">
        <v>2.81</v>
      </c>
      <c r="AI146">
        <v>0.83</v>
      </c>
      <c r="AJ146">
        <v>114.26</v>
      </c>
      <c r="AK146">
        <v>0</v>
      </c>
      <c r="AL146">
        <v>18.28</v>
      </c>
      <c r="AM146">
        <v>2.29</v>
      </c>
      <c r="AN146">
        <v>0.76</v>
      </c>
      <c r="AO146">
        <v>0.78</v>
      </c>
      <c r="AP146">
        <v>0.76</v>
      </c>
      <c r="AQ146" t="s">
        <v>251</v>
      </c>
      <c r="AR146">
        <v>150.34700000000001</v>
      </c>
      <c r="AS146">
        <v>24</v>
      </c>
      <c r="AT146" t="s">
        <v>107</v>
      </c>
      <c r="AU146" t="s">
        <v>84</v>
      </c>
      <c r="AV146">
        <v>0</v>
      </c>
      <c r="AW146" t="s">
        <v>85</v>
      </c>
      <c r="AY146" t="s">
        <v>108</v>
      </c>
      <c r="AZ146" t="s">
        <v>493</v>
      </c>
      <c r="BA146" t="s">
        <v>170</v>
      </c>
      <c r="BB146" t="s">
        <v>90</v>
      </c>
      <c r="BC146">
        <v>22329</v>
      </c>
      <c r="BD146">
        <v>20240824</v>
      </c>
      <c r="BE146">
        <v>145.553</v>
      </c>
      <c r="BF146" t="s">
        <v>494</v>
      </c>
      <c r="BG146" t="s">
        <v>495</v>
      </c>
      <c r="BH146">
        <v>20240821</v>
      </c>
      <c r="BJ146" t="s">
        <v>112</v>
      </c>
    </row>
    <row r="147" spans="1:62" ht="12.75" x14ac:dyDescent="0.2">
      <c r="A147">
        <v>23</v>
      </c>
      <c r="B147">
        <v>8</v>
      </c>
      <c r="C147">
        <v>2024</v>
      </c>
      <c r="D147">
        <v>129877</v>
      </c>
      <c r="E147">
        <v>46</v>
      </c>
      <c r="F147" t="s">
        <v>65</v>
      </c>
      <c r="G147" t="s">
        <v>66</v>
      </c>
      <c r="H147">
        <v>20550731399</v>
      </c>
      <c r="I147" t="s">
        <v>67</v>
      </c>
      <c r="J147" t="s">
        <v>68</v>
      </c>
      <c r="K147" t="s">
        <v>69</v>
      </c>
      <c r="L147" t="s">
        <v>69</v>
      </c>
      <c r="M147" t="s">
        <v>70</v>
      </c>
      <c r="N147" t="s">
        <v>71</v>
      </c>
      <c r="O147" t="s">
        <v>71</v>
      </c>
      <c r="P147" t="s">
        <v>72</v>
      </c>
      <c r="Q147" t="s">
        <v>73</v>
      </c>
      <c r="R147" t="s">
        <v>149</v>
      </c>
      <c r="S147" t="s">
        <v>149</v>
      </c>
      <c r="T147" t="s">
        <v>406</v>
      </c>
      <c r="U147">
        <v>7318159000</v>
      </c>
      <c r="V147" t="s">
        <v>252</v>
      </c>
      <c r="W147" t="s">
        <v>677</v>
      </c>
      <c r="X147" t="s">
        <v>678</v>
      </c>
      <c r="Y147" t="s">
        <v>533</v>
      </c>
      <c r="Z147" t="s">
        <v>679</v>
      </c>
      <c r="AA147" t="s">
        <v>645</v>
      </c>
      <c r="AB147" t="s">
        <v>679</v>
      </c>
      <c r="AC147" t="s">
        <v>491</v>
      </c>
      <c r="AD147" t="s">
        <v>492</v>
      </c>
      <c r="AE147" t="s">
        <v>679</v>
      </c>
      <c r="AG147">
        <v>117.64</v>
      </c>
      <c r="AH147">
        <v>2.99</v>
      </c>
      <c r="AI147">
        <v>3.23</v>
      </c>
      <c r="AJ147">
        <v>123.87</v>
      </c>
      <c r="AK147">
        <v>7.43</v>
      </c>
      <c r="AL147">
        <v>21.01</v>
      </c>
      <c r="AM147">
        <v>2.63</v>
      </c>
      <c r="AN147">
        <v>0.81</v>
      </c>
      <c r="AO147">
        <v>0.83</v>
      </c>
      <c r="AP147">
        <v>0.81</v>
      </c>
      <c r="AQ147" t="s">
        <v>251</v>
      </c>
      <c r="AR147">
        <v>152.923</v>
      </c>
      <c r="AS147">
        <v>8</v>
      </c>
      <c r="AT147" t="s">
        <v>107</v>
      </c>
      <c r="AU147" t="s">
        <v>84</v>
      </c>
      <c r="AV147">
        <v>0</v>
      </c>
      <c r="AW147" t="s">
        <v>85</v>
      </c>
      <c r="AY147" t="s">
        <v>108</v>
      </c>
      <c r="AZ147" t="s">
        <v>493</v>
      </c>
      <c r="BA147" t="s">
        <v>170</v>
      </c>
      <c r="BB147" t="s">
        <v>90</v>
      </c>
      <c r="BC147">
        <v>22329</v>
      </c>
      <c r="BD147">
        <v>20240824</v>
      </c>
      <c r="BE147">
        <v>145.23500000000001</v>
      </c>
      <c r="BF147" t="s">
        <v>494</v>
      </c>
      <c r="BG147" t="s">
        <v>495</v>
      </c>
      <c r="BH147">
        <v>20240821</v>
      </c>
      <c r="BJ147" t="s">
        <v>112</v>
      </c>
    </row>
    <row r="148" spans="1:62" ht="12.75" x14ac:dyDescent="0.2">
      <c r="A148">
        <v>23</v>
      </c>
      <c r="B148">
        <v>8</v>
      </c>
      <c r="C148">
        <v>2024</v>
      </c>
      <c r="D148">
        <v>129877</v>
      </c>
      <c r="E148">
        <v>51</v>
      </c>
      <c r="F148" t="s">
        <v>65</v>
      </c>
      <c r="G148" t="s">
        <v>66</v>
      </c>
      <c r="H148">
        <v>20550731399</v>
      </c>
      <c r="I148" t="s">
        <v>67</v>
      </c>
      <c r="J148" t="s">
        <v>68</v>
      </c>
      <c r="K148" t="s">
        <v>69</v>
      </c>
      <c r="L148" t="s">
        <v>69</v>
      </c>
      <c r="M148" t="s">
        <v>70</v>
      </c>
      <c r="N148" t="s">
        <v>71</v>
      </c>
      <c r="O148" t="s">
        <v>71</v>
      </c>
      <c r="P148" t="s">
        <v>72</v>
      </c>
      <c r="Q148" t="s">
        <v>73</v>
      </c>
      <c r="R148" t="s">
        <v>149</v>
      </c>
      <c r="S148" t="s">
        <v>149</v>
      </c>
      <c r="T148" t="s">
        <v>406</v>
      </c>
      <c r="U148">
        <v>8428200000</v>
      </c>
      <c r="V148" t="s">
        <v>680</v>
      </c>
      <c r="W148" t="s">
        <v>681</v>
      </c>
      <c r="X148" t="s">
        <v>682</v>
      </c>
      <c r="Y148" t="s">
        <v>533</v>
      </c>
      <c r="Z148" t="s">
        <v>683</v>
      </c>
      <c r="AA148" t="s">
        <v>684</v>
      </c>
      <c r="AB148" t="s">
        <v>683</v>
      </c>
      <c r="AC148" t="s">
        <v>491</v>
      </c>
      <c r="AD148" t="s">
        <v>492</v>
      </c>
      <c r="AE148" t="s">
        <v>683</v>
      </c>
      <c r="AG148">
        <v>2943.06</v>
      </c>
      <c r="AH148">
        <v>74.900000000000006</v>
      </c>
      <c r="AI148">
        <v>29.43</v>
      </c>
      <c r="AJ148">
        <v>3047.39</v>
      </c>
      <c r="AK148">
        <v>0</v>
      </c>
      <c r="AL148">
        <v>487.58</v>
      </c>
      <c r="AM148">
        <v>60.95</v>
      </c>
      <c r="AN148">
        <v>20.25</v>
      </c>
      <c r="AO148">
        <v>20.83</v>
      </c>
      <c r="AP148">
        <v>1</v>
      </c>
      <c r="AQ148" t="s">
        <v>82</v>
      </c>
      <c r="AR148">
        <v>3047.39</v>
      </c>
      <c r="AS148">
        <v>1</v>
      </c>
      <c r="AT148" t="s">
        <v>107</v>
      </c>
      <c r="AU148" t="s">
        <v>84</v>
      </c>
      <c r="AV148">
        <v>0</v>
      </c>
      <c r="AW148" t="s">
        <v>85</v>
      </c>
      <c r="AY148" t="s">
        <v>108</v>
      </c>
      <c r="AZ148" t="s">
        <v>493</v>
      </c>
      <c r="BA148" t="s">
        <v>170</v>
      </c>
      <c r="BB148" t="s">
        <v>90</v>
      </c>
      <c r="BC148">
        <v>22329</v>
      </c>
      <c r="BD148">
        <v>20240824</v>
      </c>
      <c r="BE148">
        <v>2943.06</v>
      </c>
      <c r="BF148" t="s">
        <v>494</v>
      </c>
      <c r="BG148" t="s">
        <v>495</v>
      </c>
      <c r="BH148">
        <v>20240821</v>
      </c>
      <c r="BJ148" t="s">
        <v>112</v>
      </c>
    </row>
    <row r="149" spans="1:62" ht="12.75" x14ac:dyDescent="0.2">
      <c r="A149">
        <v>23</v>
      </c>
      <c r="B149">
        <v>8</v>
      </c>
      <c r="C149">
        <v>2024</v>
      </c>
      <c r="D149">
        <v>129877</v>
      </c>
      <c r="E149">
        <v>53</v>
      </c>
      <c r="F149" t="s">
        <v>65</v>
      </c>
      <c r="G149" t="s">
        <v>66</v>
      </c>
      <c r="H149">
        <v>20550731399</v>
      </c>
      <c r="I149" t="s">
        <v>67</v>
      </c>
      <c r="J149" t="s">
        <v>68</v>
      </c>
      <c r="K149" t="s">
        <v>69</v>
      </c>
      <c r="L149" t="s">
        <v>69</v>
      </c>
      <c r="M149" t="s">
        <v>70</v>
      </c>
      <c r="N149" t="s">
        <v>71</v>
      </c>
      <c r="O149" t="s">
        <v>71</v>
      </c>
      <c r="P149" t="s">
        <v>72</v>
      </c>
      <c r="Q149" t="s">
        <v>73</v>
      </c>
      <c r="R149" t="s">
        <v>149</v>
      </c>
      <c r="S149" t="s">
        <v>149</v>
      </c>
      <c r="T149" t="s">
        <v>406</v>
      </c>
      <c r="U149">
        <v>4016930000</v>
      </c>
      <c r="V149" t="s">
        <v>76</v>
      </c>
      <c r="W149" t="s">
        <v>487</v>
      </c>
      <c r="X149" t="s">
        <v>546</v>
      </c>
      <c r="Y149" t="s">
        <v>533</v>
      </c>
      <c r="Z149" t="s">
        <v>489</v>
      </c>
      <c r="AA149" t="s">
        <v>685</v>
      </c>
      <c r="AB149" t="s">
        <v>489</v>
      </c>
      <c r="AC149" t="s">
        <v>491</v>
      </c>
      <c r="AD149" t="s">
        <v>492</v>
      </c>
      <c r="AE149" t="s">
        <v>489</v>
      </c>
      <c r="AG149">
        <v>30.29</v>
      </c>
      <c r="AH149">
        <v>0.77</v>
      </c>
      <c r="AI149">
        <v>0.53</v>
      </c>
      <c r="AJ149">
        <v>31.59</v>
      </c>
      <c r="AK149">
        <v>1.9</v>
      </c>
      <c r="AL149">
        <v>5.36</v>
      </c>
      <c r="AM149">
        <v>0.67</v>
      </c>
      <c r="AN149">
        <v>0.21</v>
      </c>
      <c r="AO149">
        <v>0.21</v>
      </c>
      <c r="AP149">
        <v>1</v>
      </c>
      <c r="AQ149" t="s">
        <v>82</v>
      </c>
      <c r="AR149">
        <v>31.588999999999999</v>
      </c>
      <c r="AS149">
        <v>1</v>
      </c>
      <c r="AT149" t="s">
        <v>107</v>
      </c>
      <c r="AU149" t="s">
        <v>84</v>
      </c>
      <c r="AV149">
        <v>0</v>
      </c>
      <c r="AW149" t="s">
        <v>85</v>
      </c>
      <c r="AY149" t="s">
        <v>108</v>
      </c>
      <c r="AZ149" t="s">
        <v>493</v>
      </c>
      <c r="BA149" t="s">
        <v>170</v>
      </c>
      <c r="BB149" t="s">
        <v>90</v>
      </c>
      <c r="BC149">
        <v>22329</v>
      </c>
      <c r="BD149">
        <v>20240824</v>
      </c>
      <c r="BE149">
        <v>30.29</v>
      </c>
      <c r="BF149" t="s">
        <v>494</v>
      </c>
      <c r="BG149" t="s">
        <v>495</v>
      </c>
      <c r="BH149">
        <v>20240821</v>
      </c>
      <c r="BJ149" t="s">
        <v>112</v>
      </c>
    </row>
    <row r="150" spans="1:62" ht="12.75" x14ac:dyDescent="0.2">
      <c r="A150">
        <v>23</v>
      </c>
      <c r="B150">
        <v>8</v>
      </c>
      <c r="C150">
        <v>2024</v>
      </c>
      <c r="D150">
        <v>129877</v>
      </c>
      <c r="E150">
        <v>57</v>
      </c>
      <c r="F150" t="s">
        <v>65</v>
      </c>
      <c r="G150" t="s">
        <v>66</v>
      </c>
      <c r="H150">
        <v>20550731399</v>
      </c>
      <c r="I150" t="s">
        <v>67</v>
      </c>
      <c r="J150" t="s">
        <v>68</v>
      </c>
      <c r="K150" t="s">
        <v>69</v>
      </c>
      <c r="L150" t="s">
        <v>69</v>
      </c>
      <c r="M150" t="s">
        <v>70</v>
      </c>
      <c r="N150" t="s">
        <v>71</v>
      </c>
      <c r="O150" t="s">
        <v>71</v>
      </c>
      <c r="P150" t="s">
        <v>72</v>
      </c>
      <c r="Q150" t="s">
        <v>73</v>
      </c>
      <c r="R150" t="s">
        <v>149</v>
      </c>
      <c r="S150" t="s">
        <v>149</v>
      </c>
      <c r="T150" t="s">
        <v>406</v>
      </c>
      <c r="U150">
        <v>7318220000</v>
      </c>
      <c r="V150" t="s">
        <v>247</v>
      </c>
      <c r="W150" t="s">
        <v>669</v>
      </c>
      <c r="X150" t="s">
        <v>686</v>
      </c>
      <c r="Y150" t="s">
        <v>533</v>
      </c>
      <c r="Z150" t="s">
        <v>671</v>
      </c>
      <c r="AA150" t="s">
        <v>687</v>
      </c>
      <c r="AB150" t="s">
        <v>671</v>
      </c>
      <c r="AC150" t="s">
        <v>491</v>
      </c>
      <c r="AD150" t="s">
        <v>492</v>
      </c>
      <c r="AE150" t="s">
        <v>671</v>
      </c>
      <c r="AG150">
        <v>7.46</v>
      </c>
      <c r="AH150">
        <v>0.19</v>
      </c>
      <c r="AI150">
        <v>0.2</v>
      </c>
      <c r="AJ150">
        <v>7.86</v>
      </c>
      <c r="AK150">
        <v>0.47</v>
      </c>
      <c r="AL150">
        <v>1.33</v>
      </c>
      <c r="AM150">
        <v>0.17</v>
      </c>
      <c r="AN150">
        <v>0.05</v>
      </c>
      <c r="AO150">
        <v>0.05</v>
      </c>
      <c r="AP150">
        <v>0.05</v>
      </c>
      <c r="AQ150" t="s">
        <v>251</v>
      </c>
      <c r="AR150">
        <v>157.1</v>
      </c>
      <c r="AS150">
        <v>1</v>
      </c>
      <c r="AT150" t="s">
        <v>107</v>
      </c>
      <c r="AU150" t="s">
        <v>84</v>
      </c>
      <c r="AV150">
        <v>0</v>
      </c>
      <c r="AW150" t="s">
        <v>85</v>
      </c>
      <c r="AY150" t="s">
        <v>108</v>
      </c>
      <c r="AZ150" t="s">
        <v>493</v>
      </c>
      <c r="BA150" t="s">
        <v>170</v>
      </c>
      <c r="BB150" t="s">
        <v>90</v>
      </c>
      <c r="BC150">
        <v>22329</v>
      </c>
      <c r="BD150">
        <v>20240824</v>
      </c>
      <c r="BE150">
        <v>149.19999999999999</v>
      </c>
      <c r="BF150" t="s">
        <v>494</v>
      </c>
      <c r="BG150" t="s">
        <v>495</v>
      </c>
      <c r="BH150">
        <v>20240821</v>
      </c>
      <c r="BJ150" t="s">
        <v>112</v>
      </c>
    </row>
    <row r="151" spans="1:62" ht="12.75" x14ac:dyDescent="0.2">
      <c r="A151">
        <v>23</v>
      </c>
      <c r="B151">
        <v>8</v>
      </c>
      <c r="C151">
        <v>2024</v>
      </c>
      <c r="D151">
        <v>129877</v>
      </c>
      <c r="E151">
        <v>61</v>
      </c>
      <c r="F151" t="s">
        <v>65</v>
      </c>
      <c r="G151" t="s">
        <v>66</v>
      </c>
      <c r="H151">
        <v>20550731399</v>
      </c>
      <c r="I151" t="s">
        <v>67</v>
      </c>
      <c r="J151" t="s">
        <v>68</v>
      </c>
      <c r="K151" t="s">
        <v>69</v>
      </c>
      <c r="L151" t="s">
        <v>69</v>
      </c>
      <c r="M151" t="s">
        <v>70</v>
      </c>
      <c r="N151" t="s">
        <v>71</v>
      </c>
      <c r="O151" t="s">
        <v>71</v>
      </c>
      <c r="P151" t="s">
        <v>72</v>
      </c>
      <c r="Q151" t="s">
        <v>73</v>
      </c>
      <c r="R151" t="s">
        <v>149</v>
      </c>
      <c r="S151" t="s">
        <v>149</v>
      </c>
      <c r="T151" t="s">
        <v>406</v>
      </c>
      <c r="U151">
        <v>8482100000</v>
      </c>
      <c r="V151" t="s">
        <v>530</v>
      </c>
      <c r="W151" t="s">
        <v>531</v>
      </c>
      <c r="X151" t="s">
        <v>553</v>
      </c>
      <c r="Y151" t="s">
        <v>554</v>
      </c>
      <c r="Z151" t="s">
        <v>534</v>
      </c>
      <c r="AA151" t="s">
        <v>688</v>
      </c>
      <c r="AB151" t="s">
        <v>534</v>
      </c>
      <c r="AC151" t="s">
        <v>491</v>
      </c>
      <c r="AD151" t="s">
        <v>492</v>
      </c>
      <c r="AE151" t="s">
        <v>534</v>
      </c>
      <c r="AG151">
        <v>1324.1</v>
      </c>
      <c r="AH151">
        <v>33.700000000000003</v>
      </c>
      <c r="AI151">
        <v>19.86</v>
      </c>
      <c r="AJ151">
        <v>1377.66</v>
      </c>
      <c r="AK151">
        <v>0</v>
      </c>
      <c r="AL151">
        <v>220.43</v>
      </c>
      <c r="AM151">
        <v>27.55</v>
      </c>
      <c r="AN151">
        <v>9.11</v>
      </c>
      <c r="AO151">
        <v>9.3699999999999992</v>
      </c>
      <c r="AP151">
        <v>2</v>
      </c>
      <c r="AQ151" t="s">
        <v>82</v>
      </c>
      <c r="AR151">
        <v>688.83</v>
      </c>
      <c r="AS151">
        <v>2</v>
      </c>
      <c r="AT151" t="s">
        <v>107</v>
      </c>
      <c r="AU151" t="s">
        <v>84</v>
      </c>
      <c r="AV151">
        <v>0</v>
      </c>
      <c r="AW151" t="s">
        <v>85</v>
      </c>
      <c r="AY151" t="s">
        <v>108</v>
      </c>
      <c r="AZ151" t="s">
        <v>493</v>
      </c>
      <c r="BA151" t="s">
        <v>170</v>
      </c>
      <c r="BB151" t="s">
        <v>90</v>
      </c>
      <c r="BC151">
        <v>22329</v>
      </c>
      <c r="BD151">
        <v>20240824</v>
      </c>
      <c r="BE151">
        <v>662.05</v>
      </c>
      <c r="BF151" t="s">
        <v>494</v>
      </c>
      <c r="BG151" t="s">
        <v>495</v>
      </c>
      <c r="BH151">
        <v>20240821</v>
      </c>
      <c r="BJ151" t="s">
        <v>112</v>
      </c>
    </row>
    <row r="152" spans="1:62" ht="12.75" x14ac:dyDescent="0.2">
      <c r="A152">
        <v>23</v>
      </c>
      <c r="B152">
        <v>8</v>
      </c>
      <c r="C152">
        <v>2024</v>
      </c>
      <c r="D152">
        <v>129877</v>
      </c>
      <c r="E152">
        <v>65</v>
      </c>
      <c r="F152" t="s">
        <v>65</v>
      </c>
      <c r="G152" t="s">
        <v>66</v>
      </c>
      <c r="H152">
        <v>20550731399</v>
      </c>
      <c r="I152" t="s">
        <v>67</v>
      </c>
      <c r="J152" t="s">
        <v>68</v>
      </c>
      <c r="K152" t="s">
        <v>69</v>
      </c>
      <c r="L152" t="s">
        <v>69</v>
      </c>
      <c r="M152" t="s">
        <v>70</v>
      </c>
      <c r="N152" t="s">
        <v>71</v>
      </c>
      <c r="O152" t="s">
        <v>71</v>
      </c>
      <c r="P152" t="s">
        <v>72</v>
      </c>
      <c r="Q152" t="s">
        <v>73</v>
      </c>
      <c r="R152" t="s">
        <v>149</v>
      </c>
      <c r="S152" t="s">
        <v>149</v>
      </c>
      <c r="T152" t="s">
        <v>406</v>
      </c>
      <c r="U152">
        <v>7318240000</v>
      </c>
      <c r="V152" t="s">
        <v>569</v>
      </c>
      <c r="W152" t="s">
        <v>570</v>
      </c>
      <c r="X152" t="s">
        <v>689</v>
      </c>
      <c r="Y152" t="s">
        <v>554</v>
      </c>
      <c r="Z152" t="s">
        <v>572</v>
      </c>
      <c r="AA152" t="s">
        <v>690</v>
      </c>
      <c r="AB152" t="s">
        <v>572</v>
      </c>
      <c r="AC152" t="s">
        <v>491</v>
      </c>
      <c r="AD152" t="s">
        <v>492</v>
      </c>
      <c r="AE152" t="s">
        <v>572</v>
      </c>
      <c r="AG152">
        <v>1.54</v>
      </c>
      <c r="AH152">
        <v>0.04</v>
      </c>
      <c r="AI152">
        <v>0.04</v>
      </c>
      <c r="AJ152">
        <v>1.62</v>
      </c>
      <c r="AK152">
        <v>0.1</v>
      </c>
      <c r="AL152">
        <v>0.28000000000000003</v>
      </c>
      <c r="AM152">
        <v>0.03</v>
      </c>
      <c r="AN152">
        <v>0.01</v>
      </c>
      <c r="AO152">
        <v>0.01</v>
      </c>
      <c r="AP152">
        <v>0.01</v>
      </c>
      <c r="AQ152" t="s">
        <v>251</v>
      </c>
      <c r="AR152">
        <v>162.1</v>
      </c>
      <c r="AS152">
        <v>2</v>
      </c>
      <c r="AT152" t="s">
        <v>107</v>
      </c>
      <c r="AU152" t="s">
        <v>84</v>
      </c>
      <c r="AV152">
        <v>0</v>
      </c>
      <c r="AW152" t="s">
        <v>85</v>
      </c>
      <c r="AY152" t="s">
        <v>108</v>
      </c>
      <c r="AZ152" t="s">
        <v>493</v>
      </c>
      <c r="BA152" t="s">
        <v>170</v>
      </c>
      <c r="BB152" t="s">
        <v>90</v>
      </c>
      <c r="BC152">
        <v>22329</v>
      </c>
      <c r="BD152">
        <v>20240824</v>
      </c>
      <c r="BE152">
        <v>154</v>
      </c>
      <c r="BF152" t="s">
        <v>494</v>
      </c>
      <c r="BG152" t="s">
        <v>495</v>
      </c>
      <c r="BH152">
        <v>20240821</v>
      </c>
      <c r="BJ152" t="s">
        <v>112</v>
      </c>
    </row>
    <row r="153" spans="1:62" ht="12.75" x14ac:dyDescent="0.2">
      <c r="A153">
        <v>23</v>
      </c>
      <c r="B153">
        <v>8</v>
      </c>
      <c r="C153">
        <v>2024</v>
      </c>
      <c r="D153">
        <v>129877</v>
      </c>
      <c r="E153">
        <v>68</v>
      </c>
      <c r="F153" t="s">
        <v>65</v>
      </c>
      <c r="G153" t="s">
        <v>66</v>
      </c>
      <c r="H153">
        <v>20550731399</v>
      </c>
      <c r="I153" t="s">
        <v>67</v>
      </c>
      <c r="J153" t="s">
        <v>68</v>
      </c>
      <c r="K153" t="s">
        <v>69</v>
      </c>
      <c r="L153" t="s">
        <v>69</v>
      </c>
      <c r="M153" t="s">
        <v>70</v>
      </c>
      <c r="N153" t="s">
        <v>71</v>
      </c>
      <c r="O153" t="s">
        <v>71</v>
      </c>
      <c r="P153" t="s">
        <v>72</v>
      </c>
      <c r="Q153" t="s">
        <v>73</v>
      </c>
      <c r="R153" t="s">
        <v>149</v>
      </c>
      <c r="S153" t="s">
        <v>149</v>
      </c>
      <c r="T153" t="s">
        <v>406</v>
      </c>
      <c r="U153">
        <v>7318159000</v>
      </c>
      <c r="V153" t="s">
        <v>252</v>
      </c>
      <c r="W153" t="s">
        <v>677</v>
      </c>
      <c r="X153" t="s">
        <v>691</v>
      </c>
      <c r="Y153" t="s">
        <v>563</v>
      </c>
      <c r="Z153" t="s">
        <v>679</v>
      </c>
      <c r="AA153" t="s">
        <v>692</v>
      </c>
      <c r="AB153" t="s">
        <v>679</v>
      </c>
      <c r="AC153" t="s">
        <v>491</v>
      </c>
      <c r="AD153" t="s">
        <v>492</v>
      </c>
      <c r="AE153" t="s">
        <v>679</v>
      </c>
      <c r="AG153">
        <v>3.29</v>
      </c>
      <c r="AH153">
        <v>0.08</v>
      </c>
      <c r="AI153">
        <v>0.09</v>
      </c>
      <c r="AJ153">
        <v>3.46</v>
      </c>
      <c r="AK153">
        <v>0.21</v>
      </c>
      <c r="AL153">
        <v>0.59</v>
      </c>
      <c r="AM153">
        <v>7.0000000000000007E-2</v>
      </c>
      <c r="AN153">
        <v>0.02</v>
      </c>
      <c r="AO153">
        <v>0.02</v>
      </c>
      <c r="AP153">
        <v>0.02</v>
      </c>
      <c r="AQ153" t="s">
        <v>251</v>
      </c>
      <c r="AR153">
        <v>173.25</v>
      </c>
      <c r="AS153">
        <v>4</v>
      </c>
      <c r="AT153" t="s">
        <v>107</v>
      </c>
      <c r="AU153" t="s">
        <v>84</v>
      </c>
      <c r="AV153">
        <v>0</v>
      </c>
      <c r="AW153" t="s">
        <v>85</v>
      </c>
      <c r="AY153" t="s">
        <v>108</v>
      </c>
      <c r="AZ153" t="s">
        <v>493</v>
      </c>
      <c r="BA153" t="s">
        <v>170</v>
      </c>
      <c r="BB153" t="s">
        <v>90</v>
      </c>
      <c r="BC153">
        <v>22329</v>
      </c>
      <c r="BD153">
        <v>20240824</v>
      </c>
      <c r="BE153">
        <v>164.5</v>
      </c>
      <c r="BF153" t="s">
        <v>494</v>
      </c>
      <c r="BG153" t="s">
        <v>495</v>
      </c>
      <c r="BH153">
        <v>20240821</v>
      </c>
      <c r="BJ153" t="s">
        <v>112</v>
      </c>
    </row>
    <row r="154" spans="1:62" ht="12.75" x14ac:dyDescent="0.2">
      <c r="A154">
        <v>23</v>
      </c>
      <c r="B154">
        <v>8</v>
      </c>
      <c r="C154">
        <v>2024</v>
      </c>
      <c r="D154">
        <v>129877</v>
      </c>
      <c r="E154">
        <v>73</v>
      </c>
      <c r="F154" t="s">
        <v>65</v>
      </c>
      <c r="G154" t="s">
        <v>66</v>
      </c>
      <c r="H154">
        <v>20550731399</v>
      </c>
      <c r="I154" t="s">
        <v>67</v>
      </c>
      <c r="J154" t="s">
        <v>68</v>
      </c>
      <c r="K154" t="s">
        <v>69</v>
      </c>
      <c r="L154" t="s">
        <v>69</v>
      </c>
      <c r="M154" t="s">
        <v>70</v>
      </c>
      <c r="N154" t="s">
        <v>71</v>
      </c>
      <c r="O154" t="s">
        <v>71</v>
      </c>
      <c r="P154" t="s">
        <v>72</v>
      </c>
      <c r="Q154" t="s">
        <v>73</v>
      </c>
      <c r="R154" t="s">
        <v>149</v>
      </c>
      <c r="S154" t="s">
        <v>149</v>
      </c>
      <c r="T154" t="s">
        <v>406</v>
      </c>
      <c r="U154">
        <v>8482100000</v>
      </c>
      <c r="V154" t="s">
        <v>530</v>
      </c>
      <c r="W154" t="s">
        <v>531</v>
      </c>
      <c r="X154" t="s">
        <v>693</v>
      </c>
      <c r="Y154" t="s">
        <v>567</v>
      </c>
      <c r="Z154" t="s">
        <v>534</v>
      </c>
      <c r="AA154" t="s">
        <v>694</v>
      </c>
      <c r="AB154" t="s">
        <v>534</v>
      </c>
      <c r="AC154" t="s">
        <v>491</v>
      </c>
      <c r="AD154" t="s">
        <v>492</v>
      </c>
      <c r="AE154" t="s">
        <v>534</v>
      </c>
      <c r="AG154">
        <v>551.32000000000005</v>
      </c>
      <c r="AH154">
        <v>14.03</v>
      </c>
      <c r="AI154">
        <v>8.27</v>
      </c>
      <c r="AJ154">
        <v>573.62</v>
      </c>
      <c r="AK154">
        <v>0</v>
      </c>
      <c r="AL154">
        <v>91.78</v>
      </c>
      <c r="AM154">
        <v>11.47</v>
      </c>
      <c r="AN154">
        <v>3.79</v>
      </c>
      <c r="AO154">
        <v>3.9</v>
      </c>
      <c r="AP154">
        <v>1</v>
      </c>
      <c r="AQ154" t="s">
        <v>82</v>
      </c>
      <c r="AR154">
        <v>573.62199999999996</v>
      </c>
      <c r="AS154">
        <v>1</v>
      </c>
      <c r="AT154" t="s">
        <v>107</v>
      </c>
      <c r="AU154" t="s">
        <v>84</v>
      </c>
      <c r="AV154">
        <v>0</v>
      </c>
      <c r="AW154" t="s">
        <v>85</v>
      </c>
      <c r="AY154" t="s">
        <v>108</v>
      </c>
      <c r="AZ154" t="s">
        <v>493</v>
      </c>
      <c r="BA154" t="s">
        <v>170</v>
      </c>
      <c r="BB154" t="s">
        <v>90</v>
      </c>
      <c r="BC154">
        <v>22329</v>
      </c>
      <c r="BD154">
        <v>20240824</v>
      </c>
      <c r="BE154">
        <v>551.32000000000005</v>
      </c>
      <c r="BF154" t="s">
        <v>494</v>
      </c>
      <c r="BG154" t="s">
        <v>495</v>
      </c>
      <c r="BH154">
        <v>20240821</v>
      </c>
      <c r="BJ154" t="s">
        <v>112</v>
      </c>
    </row>
    <row r="155" spans="1:62" ht="12.75" x14ac:dyDescent="0.2">
      <c r="A155">
        <v>23</v>
      </c>
      <c r="B155">
        <v>8</v>
      </c>
      <c r="C155">
        <v>2024</v>
      </c>
      <c r="D155">
        <v>129877</v>
      </c>
      <c r="E155">
        <v>77</v>
      </c>
      <c r="F155" t="s">
        <v>65</v>
      </c>
      <c r="G155" t="s">
        <v>66</v>
      </c>
      <c r="H155">
        <v>20550731399</v>
      </c>
      <c r="I155" t="s">
        <v>67</v>
      </c>
      <c r="J155" t="s">
        <v>68</v>
      </c>
      <c r="K155" t="s">
        <v>69</v>
      </c>
      <c r="L155" t="s">
        <v>69</v>
      </c>
      <c r="M155" t="s">
        <v>70</v>
      </c>
      <c r="N155" t="s">
        <v>71</v>
      </c>
      <c r="O155" t="s">
        <v>71</v>
      </c>
      <c r="P155" t="s">
        <v>72</v>
      </c>
      <c r="Q155" t="s">
        <v>73</v>
      </c>
      <c r="R155" t="s">
        <v>149</v>
      </c>
      <c r="S155" t="s">
        <v>149</v>
      </c>
      <c r="T155" t="s">
        <v>406</v>
      </c>
      <c r="U155">
        <v>7318159000</v>
      </c>
      <c r="V155" t="s">
        <v>252</v>
      </c>
      <c r="W155" t="s">
        <v>695</v>
      </c>
      <c r="X155" t="s">
        <v>696</v>
      </c>
      <c r="Y155" t="s">
        <v>567</v>
      </c>
      <c r="Z155" t="s">
        <v>697</v>
      </c>
      <c r="AA155" t="s">
        <v>698</v>
      </c>
      <c r="AB155" t="s">
        <v>697</v>
      </c>
      <c r="AC155" t="s">
        <v>491</v>
      </c>
      <c r="AD155" t="s">
        <v>492</v>
      </c>
      <c r="AE155" t="s">
        <v>697</v>
      </c>
      <c r="AG155">
        <v>161.53</v>
      </c>
      <c r="AH155">
        <v>4.09</v>
      </c>
      <c r="AI155">
        <v>4.4400000000000004</v>
      </c>
      <c r="AJ155">
        <v>170.06</v>
      </c>
      <c r="AK155">
        <v>10.199999999999999</v>
      </c>
      <c r="AL155">
        <v>28.84</v>
      </c>
      <c r="AM155">
        <v>3.61</v>
      </c>
      <c r="AN155">
        <v>1.1200000000000001</v>
      </c>
      <c r="AO155">
        <v>1.1399999999999999</v>
      </c>
      <c r="AP155">
        <v>1.1200000000000001</v>
      </c>
      <c r="AQ155" t="s">
        <v>251</v>
      </c>
      <c r="AR155">
        <v>151.84399999999999</v>
      </c>
      <c r="AS155">
        <v>1</v>
      </c>
      <c r="AT155" t="s">
        <v>107</v>
      </c>
      <c r="AU155" t="s">
        <v>84</v>
      </c>
      <c r="AV155">
        <v>0</v>
      </c>
      <c r="AW155" t="s">
        <v>85</v>
      </c>
      <c r="AY155" t="s">
        <v>108</v>
      </c>
      <c r="AZ155" t="s">
        <v>493</v>
      </c>
      <c r="BA155" t="s">
        <v>170</v>
      </c>
      <c r="BB155" t="s">
        <v>90</v>
      </c>
      <c r="BC155">
        <v>22329</v>
      </c>
      <c r="BD155">
        <v>20240824</v>
      </c>
      <c r="BE155">
        <v>144.22300000000001</v>
      </c>
      <c r="BF155" t="s">
        <v>494</v>
      </c>
      <c r="BG155" t="s">
        <v>495</v>
      </c>
      <c r="BH155">
        <v>20240821</v>
      </c>
      <c r="BJ155" t="s">
        <v>112</v>
      </c>
    </row>
    <row r="156" spans="1:62" ht="12.75" x14ac:dyDescent="0.2">
      <c r="A156">
        <v>23</v>
      </c>
      <c r="B156">
        <v>8</v>
      </c>
      <c r="C156">
        <v>2024</v>
      </c>
      <c r="D156">
        <v>129877</v>
      </c>
      <c r="E156">
        <v>54</v>
      </c>
      <c r="F156" t="s">
        <v>65</v>
      </c>
      <c r="G156" t="s">
        <v>66</v>
      </c>
      <c r="H156">
        <v>20550731399</v>
      </c>
      <c r="I156" t="s">
        <v>67</v>
      </c>
      <c r="J156" t="s">
        <v>68</v>
      </c>
      <c r="K156" t="s">
        <v>69</v>
      </c>
      <c r="L156" t="s">
        <v>69</v>
      </c>
      <c r="M156" t="s">
        <v>70</v>
      </c>
      <c r="N156" t="s">
        <v>71</v>
      </c>
      <c r="O156" t="s">
        <v>71</v>
      </c>
      <c r="P156" t="s">
        <v>72</v>
      </c>
      <c r="Q156" t="s">
        <v>73</v>
      </c>
      <c r="R156" t="s">
        <v>149</v>
      </c>
      <c r="S156" t="s">
        <v>149</v>
      </c>
      <c r="T156" t="s">
        <v>406</v>
      </c>
      <c r="U156">
        <v>7318220000</v>
      </c>
      <c r="V156" t="s">
        <v>247</v>
      </c>
      <c r="W156" t="s">
        <v>669</v>
      </c>
      <c r="X156" t="s">
        <v>699</v>
      </c>
      <c r="Y156" t="s">
        <v>533</v>
      </c>
      <c r="Z156" t="s">
        <v>671</v>
      </c>
      <c r="AA156" t="s">
        <v>700</v>
      </c>
      <c r="AB156" t="s">
        <v>671</v>
      </c>
      <c r="AC156" t="s">
        <v>491</v>
      </c>
      <c r="AD156" t="s">
        <v>492</v>
      </c>
      <c r="AE156" t="s">
        <v>671</v>
      </c>
      <c r="AG156">
        <v>32.04</v>
      </c>
      <c r="AH156">
        <v>0.82</v>
      </c>
      <c r="AI156">
        <v>0.88</v>
      </c>
      <c r="AJ156">
        <v>33.74</v>
      </c>
      <c r="AK156">
        <v>2.02</v>
      </c>
      <c r="AL156">
        <v>5.72</v>
      </c>
      <c r="AM156">
        <v>0.72</v>
      </c>
      <c r="AN156">
        <v>0.22</v>
      </c>
      <c r="AO156">
        <v>0.23</v>
      </c>
      <c r="AP156">
        <v>0.22</v>
      </c>
      <c r="AQ156" t="s">
        <v>251</v>
      </c>
      <c r="AR156">
        <v>153.345</v>
      </c>
      <c r="AS156">
        <v>2</v>
      </c>
      <c r="AT156" t="s">
        <v>107</v>
      </c>
      <c r="AU156" t="s">
        <v>84</v>
      </c>
      <c r="AV156">
        <v>0</v>
      </c>
      <c r="AW156" t="s">
        <v>85</v>
      </c>
      <c r="AY156" t="s">
        <v>108</v>
      </c>
      <c r="AZ156" t="s">
        <v>493</v>
      </c>
      <c r="BA156" t="s">
        <v>170</v>
      </c>
      <c r="BB156" t="s">
        <v>90</v>
      </c>
      <c r="BC156">
        <v>22329</v>
      </c>
      <c r="BD156">
        <v>20240824</v>
      </c>
      <c r="BE156">
        <v>145.636</v>
      </c>
      <c r="BF156" t="s">
        <v>494</v>
      </c>
      <c r="BG156" t="s">
        <v>495</v>
      </c>
      <c r="BH156">
        <v>20240821</v>
      </c>
      <c r="BJ156" t="s">
        <v>112</v>
      </c>
    </row>
    <row r="157" spans="1:62" ht="12.75" x14ac:dyDescent="0.2">
      <c r="A157">
        <v>23</v>
      </c>
      <c r="B157">
        <v>8</v>
      </c>
      <c r="C157">
        <v>2024</v>
      </c>
      <c r="D157">
        <v>129877</v>
      </c>
      <c r="E157">
        <v>58</v>
      </c>
      <c r="F157" t="s">
        <v>65</v>
      </c>
      <c r="G157" t="s">
        <v>66</v>
      </c>
      <c r="H157">
        <v>20550731399</v>
      </c>
      <c r="I157" t="s">
        <v>67</v>
      </c>
      <c r="J157" t="s">
        <v>68</v>
      </c>
      <c r="K157" t="s">
        <v>69</v>
      </c>
      <c r="L157" t="s">
        <v>69</v>
      </c>
      <c r="M157" t="s">
        <v>70</v>
      </c>
      <c r="N157" t="s">
        <v>71</v>
      </c>
      <c r="O157" t="s">
        <v>71</v>
      </c>
      <c r="P157" t="s">
        <v>72</v>
      </c>
      <c r="Q157" t="s">
        <v>73</v>
      </c>
      <c r="R157" t="s">
        <v>149</v>
      </c>
      <c r="S157" t="s">
        <v>149</v>
      </c>
      <c r="T157" t="s">
        <v>406</v>
      </c>
      <c r="U157">
        <v>7318159000</v>
      </c>
      <c r="V157" t="s">
        <v>252</v>
      </c>
      <c r="W157" t="s">
        <v>541</v>
      </c>
      <c r="X157" t="s">
        <v>542</v>
      </c>
      <c r="Y157" t="s">
        <v>533</v>
      </c>
      <c r="Z157" t="s">
        <v>543</v>
      </c>
      <c r="AA157" t="s">
        <v>701</v>
      </c>
      <c r="AB157" t="s">
        <v>545</v>
      </c>
      <c r="AC157" t="s">
        <v>491</v>
      </c>
      <c r="AD157" t="s">
        <v>492</v>
      </c>
      <c r="AE157" t="s">
        <v>543</v>
      </c>
      <c r="AG157">
        <v>144.85</v>
      </c>
      <c r="AH157">
        <v>3.68</v>
      </c>
      <c r="AI157">
        <v>3.98</v>
      </c>
      <c r="AJ157">
        <v>152.52000000000001</v>
      </c>
      <c r="AK157">
        <v>9.15</v>
      </c>
      <c r="AL157">
        <v>25.87</v>
      </c>
      <c r="AM157">
        <v>3.23</v>
      </c>
      <c r="AN157">
        <v>1</v>
      </c>
      <c r="AO157">
        <v>1.03</v>
      </c>
      <c r="AP157">
        <v>1</v>
      </c>
      <c r="AQ157" t="s">
        <v>251</v>
      </c>
      <c r="AR157">
        <v>152.518</v>
      </c>
      <c r="AS157">
        <v>60</v>
      </c>
      <c r="AT157" t="s">
        <v>107</v>
      </c>
      <c r="AU157" t="s">
        <v>84</v>
      </c>
      <c r="AV157">
        <v>0</v>
      </c>
      <c r="AW157" t="s">
        <v>85</v>
      </c>
      <c r="AY157" t="s">
        <v>108</v>
      </c>
      <c r="AZ157" t="s">
        <v>493</v>
      </c>
      <c r="BA157" t="s">
        <v>170</v>
      </c>
      <c r="BB157" t="s">
        <v>90</v>
      </c>
      <c r="BC157">
        <v>22329</v>
      </c>
      <c r="BD157">
        <v>20240824</v>
      </c>
      <c r="BE157">
        <v>144.85</v>
      </c>
      <c r="BF157" t="s">
        <v>494</v>
      </c>
      <c r="BG157" t="s">
        <v>495</v>
      </c>
      <c r="BH157">
        <v>20240821</v>
      </c>
      <c r="BJ157" t="s">
        <v>112</v>
      </c>
    </row>
    <row r="158" spans="1:62" ht="12.75" x14ac:dyDescent="0.2">
      <c r="A158">
        <v>23</v>
      </c>
      <c r="B158">
        <v>8</v>
      </c>
      <c r="C158">
        <v>2024</v>
      </c>
      <c r="D158">
        <v>129877</v>
      </c>
      <c r="E158">
        <v>62</v>
      </c>
      <c r="F158" t="s">
        <v>65</v>
      </c>
      <c r="G158" t="s">
        <v>66</v>
      </c>
      <c r="H158">
        <v>20550731399</v>
      </c>
      <c r="I158" t="s">
        <v>67</v>
      </c>
      <c r="J158" t="s">
        <v>68</v>
      </c>
      <c r="K158" t="s">
        <v>69</v>
      </c>
      <c r="L158" t="s">
        <v>69</v>
      </c>
      <c r="M158" t="s">
        <v>70</v>
      </c>
      <c r="N158" t="s">
        <v>71</v>
      </c>
      <c r="O158" t="s">
        <v>71</v>
      </c>
      <c r="P158" t="s">
        <v>72</v>
      </c>
      <c r="Q158" t="s">
        <v>73</v>
      </c>
      <c r="R158" t="s">
        <v>149</v>
      </c>
      <c r="S158" t="s">
        <v>149</v>
      </c>
      <c r="T158" t="s">
        <v>406</v>
      </c>
      <c r="U158">
        <v>8482100000</v>
      </c>
      <c r="V158" t="s">
        <v>530</v>
      </c>
      <c r="W158" t="s">
        <v>531</v>
      </c>
      <c r="X158" t="s">
        <v>702</v>
      </c>
      <c r="Y158" t="s">
        <v>554</v>
      </c>
      <c r="Z158" t="s">
        <v>534</v>
      </c>
      <c r="AA158" t="s">
        <v>703</v>
      </c>
      <c r="AB158" t="s">
        <v>534</v>
      </c>
      <c r="AC158" t="s">
        <v>491</v>
      </c>
      <c r="AD158" t="s">
        <v>492</v>
      </c>
      <c r="AE158" t="s">
        <v>534</v>
      </c>
      <c r="AG158">
        <v>1493.53</v>
      </c>
      <c r="AH158">
        <v>38.01</v>
      </c>
      <c r="AI158">
        <v>22.4</v>
      </c>
      <c r="AJ158">
        <v>1553.94</v>
      </c>
      <c r="AK158">
        <v>0</v>
      </c>
      <c r="AL158">
        <v>248.63</v>
      </c>
      <c r="AM158">
        <v>31.08</v>
      </c>
      <c r="AN158">
        <v>10.28</v>
      </c>
      <c r="AO158">
        <v>10.57</v>
      </c>
      <c r="AP158">
        <v>2</v>
      </c>
      <c r="AQ158" t="s">
        <v>82</v>
      </c>
      <c r="AR158">
        <v>776.971</v>
      </c>
      <c r="AS158">
        <v>2</v>
      </c>
      <c r="AT158" t="s">
        <v>107</v>
      </c>
      <c r="AU158" t="s">
        <v>84</v>
      </c>
      <c r="AV158">
        <v>0</v>
      </c>
      <c r="AW158" t="s">
        <v>85</v>
      </c>
      <c r="AY158" t="s">
        <v>108</v>
      </c>
      <c r="AZ158" t="s">
        <v>493</v>
      </c>
      <c r="BA158" t="s">
        <v>170</v>
      </c>
      <c r="BB158" t="s">
        <v>90</v>
      </c>
      <c r="BC158">
        <v>22329</v>
      </c>
      <c r="BD158">
        <v>20240824</v>
      </c>
      <c r="BE158">
        <v>746.76499999999999</v>
      </c>
      <c r="BF158" t="s">
        <v>494</v>
      </c>
      <c r="BG158" t="s">
        <v>495</v>
      </c>
      <c r="BH158">
        <v>20240821</v>
      </c>
      <c r="BJ158" t="s">
        <v>112</v>
      </c>
    </row>
    <row r="159" spans="1:62" ht="12.75" x14ac:dyDescent="0.2">
      <c r="A159">
        <v>23</v>
      </c>
      <c r="B159">
        <v>8</v>
      </c>
      <c r="C159">
        <v>2024</v>
      </c>
      <c r="D159">
        <v>129877</v>
      </c>
      <c r="E159">
        <v>69</v>
      </c>
      <c r="F159" t="s">
        <v>65</v>
      </c>
      <c r="G159" t="s">
        <v>66</v>
      </c>
      <c r="H159">
        <v>20550731399</v>
      </c>
      <c r="I159" t="s">
        <v>67</v>
      </c>
      <c r="J159" t="s">
        <v>68</v>
      </c>
      <c r="K159" t="s">
        <v>69</v>
      </c>
      <c r="L159" t="s">
        <v>69</v>
      </c>
      <c r="M159" t="s">
        <v>70</v>
      </c>
      <c r="N159" t="s">
        <v>71</v>
      </c>
      <c r="O159" t="s">
        <v>71</v>
      </c>
      <c r="P159" t="s">
        <v>72</v>
      </c>
      <c r="Q159" t="s">
        <v>73</v>
      </c>
      <c r="R159" t="s">
        <v>149</v>
      </c>
      <c r="S159" t="s">
        <v>149</v>
      </c>
      <c r="T159" t="s">
        <v>406</v>
      </c>
      <c r="U159">
        <v>8482100000</v>
      </c>
      <c r="V159" t="s">
        <v>530</v>
      </c>
      <c r="W159" t="s">
        <v>531</v>
      </c>
      <c r="X159" t="s">
        <v>704</v>
      </c>
      <c r="Y159" t="s">
        <v>563</v>
      </c>
      <c r="Z159" t="s">
        <v>534</v>
      </c>
      <c r="AA159" t="s">
        <v>705</v>
      </c>
      <c r="AB159" t="s">
        <v>534</v>
      </c>
      <c r="AC159" t="s">
        <v>491</v>
      </c>
      <c r="AD159" t="s">
        <v>492</v>
      </c>
      <c r="AE159" t="s">
        <v>534</v>
      </c>
      <c r="AG159">
        <v>117.75</v>
      </c>
      <c r="AH159">
        <v>3</v>
      </c>
      <c r="AI159">
        <v>1.77</v>
      </c>
      <c r="AJ159">
        <v>122.51</v>
      </c>
      <c r="AK159">
        <v>0</v>
      </c>
      <c r="AL159">
        <v>19.600000000000001</v>
      </c>
      <c r="AM159">
        <v>2.4500000000000002</v>
      </c>
      <c r="AN159">
        <v>0.81</v>
      </c>
      <c r="AO159">
        <v>0.83</v>
      </c>
      <c r="AP159">
        <v>1</v>
      </c>
      <c r="AQ159" t="s">
        <v>82</v>
      </c>
      <c r="AR159">
        <v>122.51300000000001</v>
      </c>
      <c r="AS159">
        <v>1</v>
      </c>
      <c r="AT159" t="s">
        <v>107</v>
      </c>
      <c r="AU159" t="s">
        <v>84</v>
      </c>
      <c r="AV159">
        <v>0</v>
      </c>
      <c r="AW159" t="s">
        <v>85</v>
      </c>
      <c r="AY159" t="s">
        <v>108</v>
      </c>
      <c r="AZ159" t="s">
        <v>493</v>
      </c>
      <c r="BA159" t="s">
        <v>170</v>
      </c>
      <c r="BB159" t="s">
        <v>90</v>
      </c>
      <c r="BC159">
        <v>22329</v>
      </c>
      <c r="BD159">
        <v>20240824</v>
      </c>
      <c r="BE159">
        <v>117.75</v>
      </c>
      <c r="BF159" t="s">
        <v>494</v>
      </c>
      <c r="BG159" t="s">
        <v>495</v>
      </c>
      <c r="BH159">
        <v>20240821</v>
      </c>
      <c r="BJ159" t="s">
        <v>112</v>
      </c>
    </row>
    <row r="160" spans="1:62" ht="12.75" x14ac:dyDescent="0.2">
      <c r="A160">
        <v>23</v>
      </c>
      <c r="B160">
        <v>8</v>
      </c>
      <c r="C160">
        <v>2024</v>
      </c>
      <c r="D160">
        <v>129877</v>
      </c>
      <c r="E160">
        <v>70</v>
      </c>
      <c r="F160" t="s">
        <v>65</v>
      </c>
      <c r="G160" t="s">
        <v>66</v>
      </c>
      <c r="H160">
        <v>20550731399</v>
      </c>
      <c r="I160" t="s">
        <v>67</v>
      </c>
      <c r="J160" t="s">
        <v>68</v>
      </c>
      <c r="K160" t="s">
        <v>69</v>
      </c>
      <c r="L160" t="s">
        <v>69</v>
      </c>
      <c r="M160" t="s">
        <v>70</v>
      </c>
      <c r="N160" t="s">
        <v>71</v>
      </c>
      <c r="O160" t="s">
        <v>71</v>
      </c>
      <c r="P160" t="s">
        <v>72</v>
      </c>
      <c r="Q160" t="s">
        <v>73</v>
      </c>
      <c r="R160" t="s">
        <v>149</v>
      </c>
      <c r="S160" t="s">
        <v>149</v>
      </c>
      <c r="T160" t="s">
        <v>406</v>
      </c>
      <c r="U160">
        <v>7419802000</v>
      </c>
      <c r="V160" t="s">
        <v>706</v>
      </c>
      <c r="W160" t="s">
        <v>707</v>
      </c>
      <c r="X160" t="s">
        <v>708</v>
      </c>
      <c r="Y160" t="s">
        <v>567</v>
      </c>
      <c r="Z160" t="s">
        <v>709</v>
      </c>
      <c r="AA160" t="s">
        <v>710</v>
      </c>
      <c r="AB160" t="s">
        <v>709</v>
      </c>
      <c r="AC160" t="s">
        <v>491</v>
      </c>
      <c r="AD160" t="s">
        <v>492</v>
      </c>
      <c r="AE160" t="s">
        <v>709</v>
      </c>
      <c r="AG160">
        <v>29.63</v>
      </c>
      <c r="AH160">
        <v>0.76</v>
      </c>
      <c r="AI160">
        <v>0.37</v>
      </c>
      <c r="AJ160">
        <v>30.75</v>
      </c>
      <c r="AK160">
        <v>0</v>
      </c>
      <c r="AL160">
        <v>4.92</v>
      </c>
      <c r="AM160">
        <v>0.62</v>
      </c>
      <c r="AN160">
        <v>0.2</v>
      </c>
      <c r="AO160">
        <v>0.21</v>
      </c>
      <c r="AP160">
        <v>0.2</v>
      </c>
      <c r="AQ160" t="s">
        <v>251</v>
      </c>
      <c r="AR160">
        <v>153.77500000000001</v>
      </c>
      <c r="AS160">
        <v>6</v>
      </c>
      <c r="AT160" t="s">
        <v>107</v>
      </c>
      <c r="AU160" t="s">
        <v>84</v>
      </c>
      <c r="AV160">
        <v>0</v>
      </c>
      <c r="AW160" t="s">
        <v>85</v>
      </c>
      <c r="AY160" t="s">
        <v>108</v>
      </c>
      <c r="AZ160" t="s">
        <v>493</v>
      </c>
      <c r="BA160" t="s">
        <v>170</v>
      </c>
      <c r="BB160" t="s">
        <v>90</v>
      </c>
      <c r="BC160">
        <v>22329</v>
      </c>
      <c r="BD160">
        <v>20240824</v>
      </c>
      <c r="BE160">
        <v>148.15</v>
      </c>
      <c r="BF160" t="s">
        <v>494</v>
      </c>
      <c r="BG160" t="s">
        <v>495</v>
      </c>
      <c r="BH160">
        <v>20240821</v>
      </c>
      <c r="BJ160" t="s">
        <v>112</v>
      </c>
    </row>
    <row r="161" spans="1:63" ht="12.75" x14ac:dyDescent="0.2">
      <c r="A161">
        <v>23</v>
      </c>
      <c r="B161">
        <v>8</v>
      </c>
      <c r="C161">
        <v>2024</v>
      </c>
      <c r="D161">
        <v>129877</v>
      </c>
      <c r="E161">
        <v>74</v>
      </c>
      <c r="F161" t="s">
        <v>65</v>
      </c>
      <c r="G161" t="s">
        <v>66</v>
      </c>
      <c r="H161">
        <v>20550731399</v>
      </c>
      <c r="I161" t="s">
        <v>67</v>
      </c>
      <c r="J161" t="s">
        <v>68</v>
      </c>
      <c r="K161" t="s">
        <v>69</v>
      </c>
      <c r="L161" t="s">
        <v>69</v>
      </c>
      <c r="M161" t="s">
        <v>70</v>
      </c>
      <c r="N161" t="s">
        <v>71</v>
      </c>
      <c r="O161" t="s">
        <v>71</v>
      </c>
      <c r="P161" t="s">
        <v>72</v>
      </c>
      <c r="Q161" t="s">
        <v>73</v>
      </c>
      <c r="R161" t="s">
        <v>149</v>
      </c>
      <c r="S161" t="s">
        <v>149</v>
      </c>
      <c r="T161" t="s">
        <v>406</v>
      </c>
      <c r="U161">
        <v>8482100000</v>
      </c>
      <c r="V161" t="s">
        <v>530</v>
      </c>
      <c r="W161" t="s">
        <v>531</v>
      </c>
      <c r="X161" t="s">
        <v>711</v>
      </c>
      <c r="Y161" t="s">
        <v>567</v>
      </c>
      <c r="Z161" t="s">
        <v>534</v>
      </c>
      <c r="AA161" t="s">
        <v>712</v>
      </c>
      <c r="AB161" t="s">
        <v>534</v>
      </c>
      <c r="AC161" t="s">
        <v>491</v>
      </c>
      <c r="AD161" t="s">
        <v>492</v>
      </c>
      <c r="AE161" t="s">
        <v>534</v>
      </c>
      <c r="AG161">
        <v>904.46</v>
      </c>
      <c r="AH161">
        <v>23.02</v>
      </c>
      <c r="AI161">
        <v>13.57</v>
      </c>
      <c r="AJ161">
        <v>941.05</v>
      </c>
      <c r="AK161">
        <v>0</v>
      </c>
      <c r="AL161">
        <v>150.57</v>
      </c>
      <c r="AM161">
        <v>18.82</v>
      </c>
      <c r="AN161">
        <v>6.22</v>
      </c>
      <c r="AO161">
        <v>6.4</v>
      </c>
      <c r="AP161">
        <v>1</v>
      </c>
      <c r="AQ161" t="s">
        <v>82</v>
      </c>
      <c r="AR161">
        <v>941.04600000000005</v>
      </c>
      <c r="AS161">
        <v>1</v>
      </c>
      <c r="AT161" t="s">
        <v>107</v>
      </c>
      <c r="AU161" t="s">
        <v>84</v>
      </c>
      <c r="AV161">
        <v>0</v>
      </c>
      <c r="AW161" t="s">
        <v>85</v>
      </c>
      <c r="AY161" t="s">
        <v>108</v>
      </c>
      <c r="AZ161" t="s">
        <v>493</v>
      </c>
      <c r="BA161" t="s">
        <v>170</v>
      </c>
      <c r="BB161" t="s">
        <v>90</v>
      </c>
      <c r="BC161">
        <v>22329</v>
      </c>
      <c r="BD161">
        <v>20240824</v>
      </c>
      <c r="BE161">
        <v>904.46</v>
      </c>
      <c r="BF161" t="s">
        <v>494</v>
      </c>
      <c r="BG161" t="s">
        <v>495</v>
      </c>
      <c r="BH161">
        <v>20240821</v>
      </c>
      <c r="BJ161" t="s">
        <v>112</v>
      </c>
    </row>
    <row r="162" spans="1:63" ht="12.75" x14ac:dyDescent="0.2">
      <c r="A162">
        <v>23</v>
      </c>
      <c r="B162">
        <v>8</v>
      </c>
      <c r="C162">
        <v>2024</v>
      </c>
      <c r="D162">
        <v>129877</v>
      </c>
      <c r="E162">
        <v>55</v>
      </c>
      <c r="F162" t="s">
        <v>65</v>
      </c>
      <c r="G162" t="s">
        <v>66</v>
      </c>
      <c r="H162">
        <v>20550731399</v>
      </c>
      <c r="I162" t="s">
        <v>67</v>
      </c>
      <c r="J162" t="s">
        <v>68</v>
      </c>
      <c r="K162" t="s">
        <v>69</v>
      </c>
      <c r="L162" t="s">
        <v>69</v>
      </c>
      <c r="M162" t="s">
        <v>70</v>
      </c>
      <c r="N162" t="s">
        <v>71</v>
      </c>
      <c r="O162" t="s">
        <v>71</v>
      </c>
      <c r="P162" t="s">
        <v>72</v>
      </c>
      <c r="Q162" t="s">
        <v>73</v>
      </c>
      <c r="R162" t="s">
        <v>149</v>
      </c>
      <c r="S162" t="s">
        <v>149</v>
      </c>
      <c r="T162" t="s">
        <v>406</v>
      </c>
      <c r="U162">
        <v>7318220000</v>
      </c>
      <c r="V162" t="s">
        <v>247</v>
      </c>
      <c r="W162" t="s">
        <v>669</v>
      </c>
      <c r="X162" t="s">
        <v>686</v>
      </c>
      <c r="Y162" t="s">
        <v>533</v>
      </c>
      <c r="Z162" t="s">
        <v>671</v>
      </c>
      <c r="AA162" t="s">
        <v>713</v>
      </c>
      <c r="AB162" t="s">
        <v>671</v>
      </c>
      <c r="AC162" t="s">
        <v>491</v>
      </c>
      <c r="AD162" t="s">
        <v>492</v>
      </c>
      <c r="AE162" t="s">
        <v>671</v>
      </c>
      <c r="AG162">
        <v>7.46</v>
      </c>
      <c r="AH162">
        <v>0.19</v>
      </c>
      <c r="AI162">
        <v>0.2</v>
      </c>
      <c r="AJ162">
        <v>7.86</v>
      </c>
      <c r="AK162">
        <v>0.47</v>
      </c>
      <c r="AL162">
        <v>1.33</v>
      </c>
      <c r="AM162">
        <v>0.17</v>
      </c>
      <c r="AN162">
        <v>0.05</v>
      </c>
      <c r="AO162">
        <v>0.05</v>
      </c>
      <c r="AP162">
        <v>0.05</v>
      </c>
      <c r="AQ162" t="s">
        <v>251</v>
      </c>
      <c r="AR162">
        <v>157.1</v>
      </c>
      <c r="AS162">
        <v>1</v>
      </c>
      <c r="AT162" t="s">
        <v>107</v>
      </c>
      <c r="AU162" t="s">
        <v>84</v>
      </c>
      <c r="AV162">
        <v>0</v>
      </c>
      <c r="AW162" t="s">
        <v>85</v>
      </c>
      <c r="AY162" t="s">
        <v>108</v>
      </c>
      <c r="AZ162" t="s">
        <v>493</v>
      </c>
      <c r="BA162" t="s">
        <v>170</v>
      </c>
      <c r="BB162" t="s">
        <v>90</v>
      </c>
      <c r="BC162">
        <v>22329</v>
      </c>
      <c r="BD162">
        <v>20240824</v>
      </c>
      <c r="BE162">
        <v>149.19999999999999</v>
      </c>
      <c r="BF162" t="s">
        <v>494</v>
      </c>
      <c r="BG162" t="s">
        <v>495</v>
      </c>
      <c r="BH162">
        <v>20240821</v>
      </c>
      <c r="BJ162" t="s">
        <v>112</v>
      </c>
    </row>
    <row r="163" spans="1:63" ht="12.75" x14ac:dyDescent="0.2">
      <c r="A163">
        <v>23</v>
      </c>
      <c r="B163">
        <v>8</v>
      </c>
      <c r="C163">
        <v>2024</v>
      </c>
      <c r="D163">
        <v>129877</v>
      </c>
      <c r="E163">
        <v>59</v>
      </c>
      <c r="F163" t="s">
        <v>65</v>
      </c>
      <c r="G163" t="s">
        <v>66</v>
      </c>
      <c r="H163">
        <v>20550731399</v>
      </c>
      <c r="I163" t="s">
        <v>67</v>
      </c>
      <c r="J163" t="s">
        <v>68</v>
      </c>
      <c r="K163" t="s">
        <v>69</v>
      </c>
      <c r="L163" t="s">
        <v>69</v>
      </c>
      <c r="M163" t="s">
        <v>70</v>
      </c>
      <c r="N163" t="s">
        <v>71</v>
      </c>
      <c r="O163" t="s">
        <v>71</v>
      </c>
      <c r="P163" t="s">
        <v>72</v>
      </c>
      <c r="Q163" t="s">
        <v>73</v>
      </c>
      <c r="R163" t="s">
        <v>149</v>
      </c>
      <c r="S163" t="s">
        <v>149</v>
      </c>
      <c r="T163" t="s">
        <v>406</v>
      </c>
      <c r="U163">
        <v>8409997000</v>
      </c>
      <c r="V163" t="s">
        <v>622</v>
      </c>
      <c r="W163" t="s">
        <v>623</v>
      </c>
      <c r="X163">
        <v>2018043</v>
      </c>
      <c r="Y163" t="s">
        <v>533</v>
      </c>
      <c r="Z163" t="s">
        <v>625</v>
      </c>
      <c r="AA163" t="s">
        <v>714</v>
      </c>
      <c r="AB163" t="s">
        <v>625</v>
      </c>
      <c r="AC163" t="s">
        <v>491</v>
      </c>
      <c r="AD163" t="s">
        <v>492</v>
      </c>
      <c r="AE163" t="s">
        <v>625</v>
      </c>
      <c r="AG163">
        <v>172.51</v>
      </c>
      <c r="AH163">
        <v>4.3899999999999997</v>
      </c>
      <c r="AI163">
        <v>1.73</v>
      </c>
      <c r="AJ163">
        <v>178.63</v>
      </c>
      <c r="AK163">
        <v>0</v>
      </c>
      <c r="AL163">
        <v>28.58</v>
      </c>
      <c r="AM163">
        <v>3.57</v>
      </c>
      <c r="AN163">
        <v>1.19</v>
      </c>
      <c r="AO163">
        <v>1.22</v>
      </c>
      <c r="AP163">
        <v>4</v>
      </c>
      <c r="AQ163" t="s">
        <v>82</v>
      </c>
      <c r="AR163">
        <v>44.656999999999996</v>
      </c>
      <c r="AS163">
        <v>4</v>
      </c>
      <c r="AT163" t="s">
        <v>107</v>
      </c>
      <c r="AU163" t="s">
        <v>84</v>
      </c>
      <c r="AV163">
        <v>0</v>
      </c>
      <c r="AW163" t="s">
        <v>85</v>
      </c>
      <c r="AY163" t="s">
        <v>108</v>
      </c>
      <c r="AZ163" t="s">
        <v>493</v>
      </c>
      <c r="BA163" t="s">
        <v>170</v>
      </c>
      <c r="BB163" t="s">
        <v>90</v>
      </c>
      <c r="BC163">
        <v>22329</v>
      </c>
      <c r="BD163">
        <v>20240824</v>
      </c>
      <c r="BE163">
        <v>43.128</v>
      </c>
      <c r="BF163" t="s">
        <v>494</v>
      </c>
      <c r="BG163" t="s">
        <v>495</v>
      </c>
      <c r="BH163">
        <v>20240821</v>
      </c>
      <c r="BJ163" t="s">
        <v>112</v>
      </c>
    </row>
    <row r="164" spans="1:63" ht="12.75" x14ac:dyDescent="0.2">
      <c r="A164">
        <v>23</v>
      </c>
      <c r="B164">
        <v>8</v>
      </c>
      <c r="C164">
        <v>2024</v>
      </c>
      <c r="D164">
        <v>129877</v>
      </c>
      <c r="E164">
        <v>63</v>
      </c>
      <c r="F164" t="s">
        <v>65</v>
      </c>
      <c r="G164" t="s">
        <v>66</v>
      </c>
      <c r="H164">
        <v>20550731399</v>
      </c>
      <c r="I164" t="s">
        <v>67</v>
      </c>
      <c r="J164" t="s">
        <v>68</v>
      </c>
      <c r="K164" t="s">
        <v>69</v>
      </c>
      <c r="L164" t="s">
        <v>69</v>
      </c>
      <c r="M164" t="s">
        <v>70</v>
      </c>
      <c r="N164" t="s">
        <v>71</v>
      </c>
      <c r="O164" t="s">
        <v>71</v>
      </c>
      <c r="P164" t="s">
        <v>72</v>
      </c>
      <c r="Q164" t="s">
        <v>73</v>
      </c>
      <c r="R164" t="s">
        <v>149</v>
      </c>
      <c r="S164" t="s">
        <v>149</v>
      </c>
      <c r="T164" t="s">
        <v>406</v>
      </c>
      <c r="U164">
        <v>7318210000</v>
      </c>
      <c r="V164" t="s">
        <v>715</v>
      </c>
      <c r="W164" t="s">
        <v>556</v>
      </c>
      <c r="X164" t="s">
        <v>557</v>
      </c>
      <c r="Y164" t="s">
        <v>554</v>
      </c>
      <c r="Z164" t="s">
        <v>558</v>
      </c>
      <c r="AA164" t="s">
        <v>716</v>
      </c>
      <c r="AB164" t="s">
        <v>558</v>
      </c>
      <c r="AC164" t="s">
        <v>491</v>
      </c>
      <c r="AD164" t="s">
        <v>492</v>
      </c>
      <c r="AE164" t="s">
        <v>558</v>
      </c>
      <c r="AG164">
        <v>145.07</v>
      </c>
      <c r="AH164">
        <v>3.69</v>
      </c>
      <c r="AI164">
        <v>3.99</v>
      </c>
      <c r="AJ164">
        <v>152.75</v>
      </c>
      <c r="AK164">
        <v>9.17</v>
      </c>
      <c r="AL164">
        <v>25.91</v>
      </c>
      <c r="AM164">
        <v>3.24</v>
      </c>
      <c r="AN164">
        <v>1</v>
      </c>
      <c r="AO164">
        <v>1.03</v>
      </c>
      <c r="AP164">
        <v>1</v>
      </c>
      <c r="AQ164" t="s">
        <v>251</v>
      </c>
      <c r="AR164">
        <v>152.75200000000001</v>
      </c>
      <c r="AS164">
        <v>2</v>
      </c>
      <c r="AT164" t="s">
        <v>107</v>
      </c>
      <c r="AU164" t="s">
        <v>84</v>
      </c>
      <c r="AV164">
        <v>0</v>
      </c>
      <c r="AW164" t="s">
        <v>85</v>
      </c>
      <c r="AY164" t="s">
        <v>108</v>
      </c>
      <c r="AZ164" t="s">
        <v>493</v>
      </c>
      <c r="BA164" t="s">
        <v>170</v>
      </c>
      <c r="BB164" t="s">
        <v>90</v>
      </c>
      <c r="BC164">
        <v>22329</v>
      </c>
      <c r="BD164">
        <v>20240824</v>
      </c>
      <c r="BE164">
        <v>145.07</v>
      </c>
      <c r="BF164" t="s">
        <v>494</v>
      </c>
      <c r="BG164" t="s">
        <v>495</v>
      </c>
      <c r="BH164">
        <v>20240821</v>
      </c>
      <c r="BJ164" t="s">
        <v>112</v>
      </c>
    </row>
    <row r="165" spans="1:63" ht="12.75" x14ac:dyDescent="0.2">
      <c r="A165">
        <v>23</v>
      </c>
      <c r="B165">
        <v>8</v>
      </c>
      <c r="C165">
        <v>2024</v>
      </c>
      <c r="D165">
        <v>129877</v>
      </c>
      <c r="E165">
        <v>66</v>
      </c>
      <c r="F165" t="s">
        <v>65</v>
      </c>
      <c r="G165" t="s">
        <v>66</v>
      </c>
      <c r="H165">
        <v>20550731399</v>
      </c>
      <c r="I165" t="s">
        <v>67</v>
      </c>
      <c r="J165" t="s">
        <v>68</v>
      </c>
      <c r="K165" t="s">
        <v>69</v>
      </c>
      <c r="L165" t="s">
        <v>69</v>
      </c>
      <c r="M165" t="s">
        <v>70</v>
      </c>
      <c r="N165" t="s">
        <v>71</v>
      </c>
      <c r="O165" t="s">
        <v>71</v>
      </c>
      <c r="P165" t="s">
        <v>72</v>
      </c>
      <c r="Q165" t="s">
        <v>73</v>
      </c>
      <c r="R165" t="s">
        <v>149</v>
      </c>
      <c r="S165" t="s">
        <v>149</v>
      </c>
      <c r="T165" t="s">
        <v>406</v>
      </c>
      <c r="U165">
        <v>7318220000</v>
      </c>
      <c r="V165" t="s">
        <v>247</v>
      </c>
      <c r="W165" t="s">
        <v>556</v>
      </c>
      <c r="X165" t="s">
        <v>717</v>
      </c>
      <c r="Y165" t="s">
        <v>554</v>
      </c>
      <c r="Z165" t="s">
        <v>558</v>
      </c>
      <c r="AA165" t="s">
        <v>718</v>
      </c>
      <c r="AB165" t="s">
        <v>558</v>
      </c>
      <c r="AC165" t="s">
        <v>491</v>
      </c>
      <c r="AD165" t="s">
        <v>492</v>
      </c>
      <c r="AE165" t="s">
        <v>558</v>
      </c>
      <c r="AG165">
        <v>43.9</v>
      </c>
      <c r="AH165">
        <v>1.1200000000000001</v>
      </c>
      <c r="AI165">
        <v>1.21</v>
      </c>
      <c r="AJ165">
        <v>46.22</v>
      </c>
      <c r="AK165">
        <v>2.77</v>
      </c>
      <c r="AL165">
        <v>7.84</v>
      </c>
      <c r="AM165">
        <v>0.98</v>
      </c>
      <c r="AN165">
        <v>0.3</v>
      </c>
      <c r="AO165">
        <v>0.31</v>
      </c>
      <c r="AP165">
        <v>0.3</v>
      </c>
      <c r="AQ165" t="s">
        <v>251</v>
      </c>
      <c r="AR165">
        <v>154.08000000000001</v>
      </c>
      <c r="AS165">
        <v>2</v>
      </c>
      <c r="AT165" t="s">
        <v>107</v>
      </c>
      <c r="AU165" t="s">
        <v>84</v>
      </c>
      <c r="AV165">
        <v>0</v>
      </c>
      <c r="AW165" t="s">
        <v>85</v>
      </c>
      <c r="AY165" t="s">
        <v>108</v>
      </c>
      <c r="AZ165" t="s">
        <v>493</v>
      </c>
      <c r="BA165" t="s">
        <v>170</v>
      </c>
      <c r="BB165" t="s">
        <v>90</v>
      </c>
      <c r="BC165">
        <v>22329</v>
      </c>
      <c r="BD165">
        <v>20240824</v>
      </c>
      <c r="BE165">
        <v>146.333</v>
      </c>
      <c r="BF165" t="s">
        <v>494</v>
      </c>
      <c r="BG165" t="s">
        <v>495</v>
      </c>
      <c r="BH165">
        <v>20240821</v>
      </c>
      <c r="BJ165" t="s">
        <v>112</v>
      </c>
    </row>
    <row r="166" spans="1:63" ht="12.75" x14ac:dyDescent="0.2">
      <c r="A166">
        <v>23</v>
      </c>
      <c r="B166">
        <v>8</v>
      </c>
      <c r="C166">
        <v>2024</v>
      </c>
      <c r="D166">
        <v>129877</v>
      </c>
      <c r="E166">
        <v>71</v>
      </c>
      <c r="F166" t="s">
        <v>65</v>
      </c>
      <c r="G166" t="s">
        <v>66</v>
      </c>
      <c r="H166">
        <v>20550731399</v>
      </c>
      <c r="I166" t="s">
        <v>67</v>
      </c>
      <c r="J166" t="s">
        <v>68</v>
      </c>
      <c r="K166" t="s">
        <v>69</v>
      </c>
      <c r="L166" t="s">
        <v>69</v>
      </c>
      <c r="M166" t="s">
        <v>70</v>
      </c>
      <c r="N166" t="s">
        <v>71</v>
      </c>
      <c r="O166" t="s">
        <v>71</v>
      </c>
      <c r="P166" t="s">
        <v>72</v>
      </c>
      <c r="Q166" t="s">
        <v>73</v>
      </c>
      <c r="R166" t="s">
        <v>149</v>
      </c>
      <c r="S166" t="s">
        <v>149</v>
      </c>
      <c r="T166" t="s">
        <v>406</v>
      </c>
      <c r="U166">
        <v>8466940000</v>
      </c>
      <c r="V166" t="s">
        <v>600</v>
      </c>
      <c r="W166" t="s">
        <v>601</v>
      </c>
      <c r="X166" t="s">
        <v>719</v>
      </c>
      <c r="Y166" t="s">
        <v>567</v>
      </c>
      <c r="Z166" t="s">
        <v>603</v>
      </c>
      <c r="AA166" t="s">
        <v>720</v>
      </c>
      <c r="AB166" t="s">
        <v>603</v>
      </c>
      <c r="AC166" t="s">
        <v>491</v>
      </c>
      <c r="AD166" t="s">
        <v>492</v>
      </c>
      <c r="AE166" t="s">
        <v>603</v>
      </c>
      <c r="AG166">
        <v>167.24</v>
      </c>
      <c r="AH166">
        <v>4.25</v>
      </c>
      <c r="AI166">
        <v>2.5099999999999998</v>
      </c>
      <c r="AJ166">
        <v>174</v>
      </c>
      <c r="AK166">
        <v>0</v>
      </c>
      <c r="AL166">
        <v>27.84</v>
      </c>
      <c r="AM166">
        <v>3.48</v>
      </c>
      <c r="AN166">
        <v>1.1499999999999999</v>
      </c>
      <c r="AO166">
        <v>1.18</v>
      </c>
      <c r="AP166">
        <v>1</v>
      </c>
      <c r="AQ166" t="s">
        <v>82</v>
      </c>
      <c r="AR166">
        <v>174.00399999999999</v>
      </c>
      <c r="AS166">
        <v>1</v>
      </c>
      <c r="AT166" t="s">
        <v>107</v>
      </c>
      <c r="AU166" t="s">
        <v>84</v>
      </c>
      <c r="AV166">
        <v>0</v>
      </c>
      <c r="AW166" t="s">
        <v>85</v>
      </c>
      <c r="AY166" t="s">
        <v>108</v>
      </c>
      <c r="AZ166" t="s">
        <v>493</v>
      </c>
      <c r="BA166" t="s">
        <v>170</v>
      </c>
      <c r="BB166" t="s">
        <v>90</v>
      </c>
      <c r="BC166">
        <v>22329</v>
      </c>
      <c r="BD166">
        <v>20240824</v>
      </c>
      <c r="BE166">
        <v>167.24</v>
      </c>
      <c r="BF166" t="s">
        <v>494</v>
      </c>
      <c r="BG166" t="s">
        <v>495</v>
      </c>
      <c r="BH166">
        <v>20240821</v>
      </c>
      <c r="BJ166" t="s">
        <v>112</v>
      </c>
    </row>
    <row r="167" spans="1:63" ht="12.75" x14ac:dyDescent="0.2">
      <c r="A167">
        <v>23</v>
      </c>
      <c r="B167">
        <v>8</v>
      </c>
      <c r="C167">
        <v>2024</v>
      </c>
      <c r="D167">
        <v>129877</v>
      </c>
      <c r="E167">
        <v>75</v>
      </c>
      <c r="F167" t="s">
        <v>65</v>
      </c>
      <c r="G167" t="s">
        <v>66</v>
      </c>
      <c r="H167">
        <v>20550731399</v>
      </c>
      <c r="I167" t="s">
        <v>67</v>
      </c>
      <c r="J167" t="s">
        <v>68</v>
      </c>
      <c r="K167" t="s">
        <v>69</v>
      </c>
      <c r="L167" t="s">
        <v>69</v>
      </c>
      <c r="M167" t="s">
        <v>70</v>
      </c>
      <c r="N167" t="s">
        <v>71</v>
      </c>
      <c r="O167" t="s">
        <v>71</v>
      </c>
      <c r="P167" t="s">
        <v>72</v>
      </c>
      <c r="Q167" t="s">
        <v>73</v>
      </c>
      <c r="R167" t="s">
        <v>149</v>
      </c>
      <c r="S167" t="s">
        <v>149</v>
      </c>
      <c r="T167" t="s">
        <v>406</v>
      </c>
      <c r="U167">
        <v>8466940000</v>
      </c>
      <c r="V167" t="s">
        <v>600</v>
      </c>
      <c r="W167" t="s">
        <v>721</v>
      </c>
      <c r="X167" t="s">
        <v>722</v>
      </c>
      <c r="Y167" t="s">
        <v>567</v>
      </c>
      <c r="Z167" t="s">
        <v>723</v>
      </c>
      <c r="AA167" t="s">
        <v>724</v>
      </c>
      <c r="AB167" t="s">
        <v>723</v>
      </c>
      <c r="AC167" t="s">
        <v>491</v>
      </c>
      <c r="AD167" t="s">
        <v>492</v>
      </c>
      <c r="AE167" t="s">
        <v>723</v>
      </c>
      <c r="AG167">
        <v>379.69</v>
      </c>
      <c r="AH167">
        <v>9.66</v>
      </c>
      <c r="AI167">
        <v>5.7</v>
      </c>
      <c r="AJ167">
        <v>395.05</v>
      </c>
      <c r="AK167">
        <v>0</v>
      </c>
      <c r="AL167">
        <v>63.21</v>
      </c>
      <c r="AM167">
        <v>7.9</v>
      </c>
      <c r="AN167">
        <v>2.61</v>
      </c>
      <c r="AO167">
        <v>2.69</v>
      </c>
      <c r="AP167">
        <v>1</v>
      </c>
      <c r="AQ167" t="s">
        <v>82</v>
      </c>
      <c r="AR167">
        <v>395.05</v>
      </c>
      <c r="AS167">
        <v>1</v>
      </c>
      <c r="AT167" t="s">
        <v>107</v>
      </c>
      <c r="AU167" t="s">
        <v>84</v>
      </c>
      <c r="AV167">
        <v>0</v>
      </c>
      <c r="AW167" t="s">
        <v>85</v>
      </c>
      <c r="AY167" t="s">
        <v>108</v>
      </c>
      <c r="AZ167" t="s">
        <v>493</v>
      </c>
      <c r="BA167" t="s">
        <v>170</v>
      </c>
      <c r="BB167" t="s">
        <v>90</v>
      </c>
      <c r="BC167">
        <v>22329</v>
      </c>
      <c r="BD167">
        <v>20240824</v>
      </c>
      <c r="BE167">
        <v>379.69</v>
      </c>
      <c r="BF167" t="s">
        <v>494</v>
      </c>
      <c r="BG167" t="s">
        <v>495</v>
      </c>
      <c r="BH167">
        <v>20240821</v>
      </c>
      <c r="BJ167" t="s">
        <v>112</v>
      </c>
    </row>
    <row r="168" spans="1:63" ht="12.75" x14ac:dyDescent="0.2">
      <c r="A168">
        <v>23</v>
      </c>
      <c r="B168">
        <v>8</v>
      </c>
      <c r="C168">
        <v>2024</v>
      </c>
      <c r="D168">
        <v>129877</v>
      </c>
      <c r="E168">
        <v>16</v>
      </c>
      <c r="F168" t="s">
        <v>65</v>
      </c>
      <c r="G168" t="s">
        <v>66</v>
      </c>
      <c r="H168">
        <v>20550731399</v>
      </c>
      <c r="I168" t="s">
        <v>67</v>
      </c>
      <c r="J168" t="s">
        <v>68</v>
      </c>
      <c r="K168" t="s">
        <v>69</v>
      </c>
      <c r="L168" t="s">
        <v>69</v>
      </c>
      <c r="M168" t="s">
        <v>70</v>
      </c>
      <c r="N168" t="s">
        <v>71</v>
      </c>
      <c r="O168" t="s">
        <v>71</v>
      </c>
      <c r="P168" t="s">
        <v>72</v>
      </c>
      <c r="Q168" t="s">
        <v>73</v>
      </c>
      <c r="R168" t="s">
        <v>149</v>
      </c>
      <c r="S168" t="s">
        <v>149</v>
      </c>
      <c r="T168" t="s">
        <v>406</v>
      </c>
      <c r="U168">
        <v>8482910000</v>
      </c>
      <c r="V168" t="s">
        <v>725</v>
      </c>
      <c r="W168" t="s">
        <v>726</v>
      </c>
      <c r="X168" t="s">
        <v>727</v>
      </c>
      <c r="Y168" t="s">
        <v>506</v>
      </c>
      <c r="Z168" t="s">
        <v>728</v>
      </c>
      <c r="AA168" t="s">
        <v>729</v>
      </c>
      <c r="AB168" t="s">
        <v>728</v>
      </c>
      <c r="AC168" t="s">
        <v>491</v>
      </c>
      <c r="AD168" t="s">
        <v>492</v>
      </c>
      <c r="AE168" t="s">
        <v>728</v>
      </c>
      <c r="AG168">
        <v>18</v>
      </c>
      <c r="AH168">
        <v>0.46</v>
      </c>
      <c r="AI168">
        <v>0.27</v>
      </c>
      <c r="AJ168">
        <v>18.73</v>
      </c>
      <c r="AK168">
        <v>0</v>
      </c>
      <c r="AL168">
        <v>3</v>
      </c>
      <c r="AM168">
        <v>0.37</v>
      </c>
      <c r="AN168">
        <v>0.12</v>
      </c>
      <c r="AO168">
        <v>0.13</v>
      </c>
      <c r="AP168">
        <v>0.12</v>
      </c>
      <c r="AQ168" t="s">
        <v>251</v>
      </c>
      <c r="AR168">
        <v>156.083</v>
      </c>
      <c r="AS168">
        <v>4</v>
      </c>
      <c r="AT168" t="s">
        <v>107</v>
      </c>
      <c r="AU168" t="s">
        <v>84</v>
      </c>
      <c r="AV168">
        <v>0</v>
      </c>
      <c r="AW168" t="s">
        <v>85</v>
      </c>
      <c r="AY168" t="s">
        <v>108</v>
      </c>
      <c r="AZ168" t="s">
        <v>493</v>
      </c>
      <c r="BA168" t="s">
        <v>170</v>
      </c>
      <c r="BB168" t="s">
        <v>90</v>
      </c>
      <c r="BC168">
        <v>22329</v>
      </c>
      <c r="BD168">
        <v>20240824</v>
      </c>
      <c r="BE168">
        <v>150</v>
      </c>
      <c r="BF168" t="s">
        <v>494</v>
      </c>
      <c r="BG168" t="s">
        <v>495</v>
      </c>
      <c r="BH168">
        <v>20240821</v>
      </c>
      <c r="BJ168" t="s">
        <v>112</v>
      </c>
    </row>
    <row r="169" spans="1:63" ht="12.75" x14ac:dyDescent="0.2">
      <c r="A169">
        <v>23</v>
      </c>
      <c r="B169">
        <v>8</v>
      </c>
      <c r="C169">
        <v>2024</v>
      </c>
      <c r="D169">
        <v>129877</v>
      </c>
      <c r="E169">
        <v>50</v>
      </c>
      <c r="F169" t="s">
        <v>65</v>
      </c>
      <c r="G169" t="s">
        <v>66</v>
      </c>
      <c r="H169">
        <v>20550731399</v>
      </c>
      <c r="I169" t="s">
        <v>67</v>
      </c>
      <c r="J169" t="s">
        <v>68</v>
      </c>
      <c r="K169" t="s">
        <v>69</v>
      </c>
      <c r="L169" t="s">
        <v>69</v>
      </c>
      <c r="M169" t="s">
        <v>70</v>
      </c>
      <c r="N169" t="s">
        <v>71</v>
      </c>
      <c r="O169" t="s">
        <v>71</v>
      </c>
      <c r="P169" t="s">
        <v>72</v>
      </c>
      <c r="Q169" t="s">
        <v>73</v>
      </c>
      <c r="R169" t="s">
        <v>149</v>
      </c>
      <c r="S169" t="s">
        <v>149</v>
      </c>
      <c r="T169" t="s">
        <v>406</v>
      </c>
      <c r="U169">
        <v>8708939900</v>
      </c>
      <c r="V169" t="s">
        <v>647</v>
      </c>
      <c r="W169" t="s">
        <v>730</v>
      </c>
      <c r="X169" t="s">
        <v>731</v>
      </c>
      <c r="Y169" t="s">
        <v>533</v>
      </c>
      <c r="Z169" t="s">
        <v>732</v>
      </c>
      <c r="AA169" t="s">
        <v>733</v>
      </c>
      <c r="AB169" t="s">
        <v>732</v>
      </c>
      <c r="AC169" t="s">
        <v>491</v>
      </c>
      <c r="AD169" t="s">
        <v>492</v>
      </c>
      <c r="AE169" t="s">
        <v>732</v>
      </c>
      <c r="AG169">
        <v>3479.13</v>
      </c>
      <c r="AH169">
        <v>88.54</v>
      </c>
      <c r="AI169">
        <v>60.88</v>
      </c>
      <c r="AJ169">
        <v>3628.56</v>
      </c>
      <c r="AK169">
        <v>0</v>
      </c>
      <c r="AL169">
        <v>580.57000000000005</v>
      </c>
      <c r="AM169">
        <v>72.569999999999993</v>
      </c>
      <c r="AN169">
        <v>23.94</v>
      </c>
      <c r="AO169">
        <v>24.63</v>
      </c>
      <c r="AP169">
        <v>24</v>
      </c>
      <c r="AQ169" t="s">
        <v>82</v>
      </c>
      <c r="AR169">
        <v>151.19</v>
      </c>
      <c r="AS169">
        <v>24</v>
      </c>
      <c r="AT169" t="s">
        <v>107</v>
      </c>
      <c r="AU169" t="s">
        <v>84</v>
      </c>
      <c r="AV169">
        <v>0</v>
      </c>
      <c r="AW169" t="s">
        <v>85</v>
      </c>
      <c r="AY169" t="s">
        <v>108</v>
      </c>
      <c r="AZ169" t="s">
        <v>493</v>
      </c>
      <c r="BA169" t="s">
        <v>170</v>
      </c>
      <c r="BB169" t="s">
        <v>90</v>
      </c>
      <c r="BC169">
        <v>22329</v>
      </c>
      <c r="BD169">
        <v>20240824</v>
      </c>
      <c r="BE169">
        <v>144.964</v>
      </c>
      <c r="BF169" t="s">
        <v>494</v>
      </c>
      <c r="BG169" t="s">
        <v>495</v>
      </c>
      <c r="BH169">
        <v>20240821</v>
      </c>
      <c r="BJ169" t="s">
        <v>112</v>
      </c>
    </row>
    <row r="170" spans="1:63" ht="12.75" x14ac:dyDescent="0.2">
      <c r="A170">
        <v>23</v>
      </c>
      <c r="B170">
        <v>8</v>
      </c>
      <c r="C170">
        <v>2024</v>
      </c>
      <c r="D170">
        <v>129877</v>
      </c>
      <c r="E170">
        <v>41</v>
      </c>
      <c r="F170" t="s">
        <v>65</v>
      </c>
      <c r="G170" t="s">
        <v>66</v>
      </c>
      <c r="H170">
        <v>20550731399</v>
      </c>
      <c r="I170" t="s">
        <v>67</v>
      </c>
      <c r="J170" t="s">
        <v>68</v>
      </c>
      <c r="K170" t="s">
        <v>69</v>
      </c>
      <c r="L170" t="s">
        <v>69</v>
      </c>
      <c r="M170" t="s">
        <v>70</v>
      </c>
      <c r="N170" t="s">
        <v>71</v>
      </c>
      <c r="O170" t="s">
        <v>71</v>
      </c>
      <c r="P170" t="s">
        <v>72</v>
      </c>
      <c r="Q170" t="s">
        <v>73</v>
      </c>
      <c r="R170" t="s">
        <v>149</v>
      </c>
      <c r="S170" t="s">
        <v>149</v>
      </c>
      <c r="T170" t="s">
        <v>406</v>
      </c>
      <c r="U170">
        <v>8409999900</v>
      </c>
      <c r="V170" t="s">
        <v>509</v>
      </c>
      <c r="W170" t="s">
        <v>734</v>
      </c>
      <c r="X170" t="s">
        <v>735</v>
      </c>
      <c r="Y170" t="s">
        <v>533</v>
      </c>
      <c r="Z170" t="s">
        <v>736</v>
      </c>
      <c r="AA170" t="s">
        <v>737</v>
      </c>
      <c r="AB170" t="s">
        <v>736</v>
      </c>
      <c r="AC170" t="s">
        <v>491</v>
      </c>
      <c r="AD170" t="s">
        <v>492</v>
      </c>
      <c r="AE170" t="s">
        <v>736</v>
      </c>
      <c r="AG170">
        <v>629.46</v>
      </c>
      <c r="AH170">
        <v>16.02</v>
      </c>
      <c r="AI170">
        <v>6.29</v>
      </c>
      <c r="AJ170">
        <v>651.77</v>
      </c>
      <c r="AK170">
        <v>0</v>
      </c>
      <c r="AL170">
        <v>104.28</v>
      </c>
      <c r="AM170">
        <v>13.04</v>
      </c>
      <c r="AN170">
        <v>4.33</v>
      </c>
      <c r="AO170">
        <v>4.46</v>
      </c>
      <c r="AP170">
        <v>24</v>
      </c>
      <c r="AQ170" t="s">
        <v>82</v>
      </c>
      <c r="AR170">
        <v>27.157</v>
      </c>
      <c r="AS170">
        <v>24</v>
      </c>
      <c r="AT170" t="s">
        <v>107</v>
      </c>
      <c r="AU170" t="s">
        <v>84</v>
      </c>
      <c r="AV170">
        <v>0</v>
      </c>
      <c r="AW170" t="s">
        <v>85</v>
      </c>
      <c r="AY170" t="s">
        <v>108</v>
      </c>
      <c r="AZ170" t="s">
        <v>493</v>
      </c>
      <c r="BA170" t="s">
        <v>170</v>
      </c>
      <c r="BB170" t="s">
        <v>90</v>
      </c>
      <c r="BC170">
        <v>22329</v>
      </c>
      <c r="BD170">
        <v>20240824</v>
      </c>
      <c r="BE170">
        <v>26.228000000000002</v>
      </c>
      <c r="BF170" t="s">
        <v>494</v>
      </c>
      <c r="BG170" t="s">
        <v>495</v>
      </c>
      <c r="BH170">
        <v>20240821</v>
      </c>
      <c r="BJ170" t="s">
        <v>112</v>
      </c>
    </row>
    <row r="171" spans="1:63" ht="12.75" x14ac:dyDescent="0.2">
      <c r="A171">
        <v>29</v>
      </c>
      <c r="B171">
        <v>9</v>
      </c>
      <c r="C171">
        <v>2024</v>
      </c>
      <c r="D171">
        <v>151699</v>
      </c>
      <c r="E171">
        <v>1</v>
      </c>
      <c r="F171" t="s">
        <v>65</v>
      </c>
      <c r="G171" t="s">
        <v>66</v>
      </c>
      <c r="H171">
        <v>20550731399</v>
      </c>
      <c r="I171" t="s">
        <v>67</v>
      </c>
      <c r="J171" t="s">
        <v>68</v>
      </c>
      <c r="K171" t="s">
        <v>69</v>
      </c>
      <c r="L171" t="s">
        <v>69</v>
      </c>
      <c r="M171" t="s">
        <v>70</v>
      </c>
      <c r="N171" t="s">
        <v>71</v>
      </c>
      <c r="O171" t="s">
        <v>71</v>
      </c>
      <c r="P171" t="s">
        <v>72</v>
      </c>
      <c r="R171" t="s">
        <v>117</v>
      </c>
      <c r="S171" t="s">
        <v>74</v>
      </c>
      <c r="T171" t="s">
        <v>738</v>
      </c>
      <c r="U171">
        <v>8483909000</v>
      </c>
      <c r="V171" t="s">
        <v>739</v>
      </c>
      <c r="W171" t="s">
        <v>740</v>
      </c>
      <c r="X171" t="s">
        <v>741</v>
      </c>
      <c r="Y171" t="s">
        <v>742</v>
      </c>
      <c r="Z171" t="s">
        <v>107</v>
      </c>
      <c r="AA171" t="s">
        <v>743</v>
      </c>
      <c r="AB171" t="s">
        <v>741</v>
      </c>
      <c r="AC171" t="s">
        <v>214</v>
      </c>
      <c r="AD171" t="s">
        <v>744</v>
      </c>
      <c r="AE171" t="s">
        <v>743</v>
      </c>
      <c r="AG171">
        <v>7143</v>
      </c>
      <c r="AH171">
        <v>188.58</v>
      </c>
      <c r="AI171">
        <v>71.430000000000007</v>
      </c>
      <c r="AJ171">
        <v>7403.01</v>
      </c>
      <c r="AK171">
        <v>444.18</v>
      </c>
      <c r="AL171">
        <v>1255.55</v>
      </c>
      <c r="AM171">
        <v>156.94</v>
      </c>
      <c r="AN171">
        <v>80.48</v>
      </c>
      <c r="AO171">
        <v>84.5</v>
      </c>
      <c r="AP171">
        <v>1</v>
      </c>
      <c r="AQ171" t="s">
        <v>82</v>
      </c>
      <c r="AR171">
        <v>7403.01</v>
      </c>
      <c r="AS171">
        <v>1</v>
      </c>
      <c r="AT171" t="s">
        <v>107</v>
      </c>
      <c r="AU171" t="s">
        <v>84</v>
      </c>
      <c r="AV171">
        <v>1</v>
      </c>
      <c r="AW171" t="s">
        <v>85</v>
      </c>
      <c r="AY171" t="s">
        <v>87</v>
      </c>
      <c r="AZ171" t="s">
        <v>155</v>
      </c>
      <c r="BA171" t="s">
        <v>89</v>
      </c>
      <c r="BB171" t="s">
        <v>90</v>
      </c>
      <c r="BC171">
        <v>24914</v>
      </c>
      <c r="BD171">
        <v>20240927</v>
      </c>
      <c r="BE171">
        <v>7143</v>
      </c>
      <c r="BG171">
        <v>2363081980</v>
      </c>
      <c r="BH171">
        <v>20240926</v>
      </c>
      <c r="BJ171" t="s">
        <v>89</v>
      </c>
      <c r="BK171" t="s">
        <v>171</v>
      </c>
    </row>
    <row r="172" spans="1:63" ht="12.75" x14ac:dyDescent="0.2">
      <c r="A172">
        <v>13</v>
      </c>
      <c r="B172">
        <v>9</v>
      </c>
      <c r="C172">
        <v>2024</v>
      </c>
      <c r="D172">
        <v>142277</v>
      </c>
      <c r="E172">
        <v>2</v>
      </c>
      <c r="F172" t="s">
        <v>65</v>
      </c>
      <c r="G172" t="s">
        <v>66</v>
      </c>
      <c r="H172">
        <v>20550731399</v>
      </c>
      <c r="I172" t="s">
        <v>67</v>
      </c>
      <c r="J172" t="s">
        <v>68</v>
      </c>
      <c r="K172" t="s">
        <v>69</v>
      </c>
      <c r="L172" t="s">
        <v>69</v>
      </c>
      <c r="M172" t="s">
        <v>70</v>
      </c>
      <c r="N172" t="s">
        <v>71</v>
      </c>
      <c r="O172" t="s">
        <v>71</v>
      </c>
      <c r="P172" t="s">
        <v>72</v>
      </c>
      <c r="Q172" t="s">
        <v>73</v>
      </c>
      <c r="R172" t="s">
        <v>74</v>
      </c>
      <c r="S172" t="s">
        <v>117</v>
      </c>
      <c r="T172" t="s">
        <v>406</v>
      </c>
      <c r="U172">
        <v>8483500000</v>
      </c>
      <c r="V172" t="s">
        <v>328</v>
      </c>
      <c r="W172" t="s">
        <v>745</v>
      </c>
      <c r="X172" t="s">
        <v>746</v>
      </c>
      <c r="Y172" t="s">
        <v>747</v>
      </c>
      <c r="Z172" t="s">
        <v>748</v>
      </c>
      <c r="AA172" t="s">
        <v>486</v>
      </c>
      <c r="AB172" t="s">
        <v>268</v>
      </c>
      <c r="AC172" t="s">
        <v>214</v>
      </c>
      <c r="AD172" t="s">
        <v>1405</v>
      </c>
      <c r="AE172" t="s">
        <v>748</v>
      </c>
      <c r="AG172">
        <v>16359.4</v>
      </c>
      <c r="AH172">
        <v>260.52999999999997</v>
      </c>
      <c r="AI172">
        <v>66.47</v>
      </c>
      <c r="AJ172">
        <v>16686.39</v>
      </c>
      <c r="AK172">
        <v>0</v>
      </c>
      <c r="AL172">
        <v>2669.82</v>
      </c>
      <c r="AM172">
        <v>333.73</v>
      </c>
      <c r="AN172">
        <v>70.91</v>
      </c>
      <c r="AO172">
        <v>74.64</v>
      </c>
      <c r="AP172">
        <v>1</v>
      </c>
      <c r="AQ172" t="s">
        <v>82</v>
      </c>
      <c r="AR172">
        <v>16686.393</v>
      </c>
      <c r="AS172">
        <v>1</v>
      </c>
      <c r="AT172" t="s">
        <v>107</v>
      </c>
      <c r="AU172" t="s">
        <v>84</v>
      </c>
      <c r="AV172">
        <v>0</v>
      </c>
      <c r="AW172" t="s">
        <v>85</v>
      </c>
      <c r="AY172" t="s">
        <v>108</v>
      </c>
      <c r="BA172" t="s">
        <v>170</v>
      </c>
      <c r="BC172">
        <v>25264</v>
      </c>
      <c r="BD172">
        <v>20240917</v>
      </c>
      <c r="BE172">
        <v>16359.4</v>
      </c>
      <c r="BF172" t="s">
        <v>749</v>
      </c>
      <c r="BG172" t="s">
        <v>750</v>
      </c>
      <c r="BH172">
        <v>20240910</v>
      </c>
      <c r="BJ172" t="s">
        <v>112</v>
      </c>
      <c r="BK172" t="s">
        <v>171</v>
      </c>
    </row>
    <row r="173" spans="1:63" ht="12.75" x14ac:dyDescent="0.2">
      <c r="A173">
        <v>13</v>
      </c>
      <c r="B173">
        <v>9</v>
      </c>
      <c r="C173">
        <v>2024</v>
      </c>
      <c r="D173">
        <v>142277</v>
      </c>
      <c r="E173">
        <v>1</v>
      </c>
      <c r="F173" t="s">
        <v>65</v>
      </c>
      <c r="G173" t="s">
        <v>66</v>
      </c>
      <c r="H173">
        <v>20550731399</v>
      </c>
      <c r="I173" t="s">
        <v>67</v>
      </c>
      <c r="J173" t="s">
        <v>68</v>
      </c>
      <c r="K173" t="s">
        <v>69</v>
      </c>
      <c r="L173" t="s">
        <v>69</v>
      </c>
      <c r="M173" t="s">
        <v>70</v>
      </c>
      <c r="N173" t="s">
        <v>71</v>
      </c>
      <c r="O173" t="s">
        <v>71</v>
      </c>
      <c r="P173" t="s">
        <v>72</v>
      </c>
      <c r="Q173" t="s">
        <v>73</v>
      </c>
      <c r="R173" t="s">
        <v>74</v>
      </c>
      <c r="S173" t="s">
        <v>117</v>
      </c>
      <c r="T173" t="s">
        <v>406</v>
      </c>
      <c r="U173">
        <v>8483500000</v>
      </c>
      <c r="V173" t="s">
        <v>328</v>
      </c>
      <c r="W173" t="s">
        <v>751</v>
      </c>
      <c r="X173" t="s">
        <v>752</v>
      </c>
      <c r="Y173" t="s">
        <v>747</v>
      </c>
      <c r="Z173" t="s">
        <v>753</v>
      </c>
      <c r="AA173" t="s">
        <v>486</v>
      </c>
      <c r="AB173" t="s">
        <v>268</v>
      </c>
      <c r="AC173" t="s">
        <v>214</v>
      </c>
      <c r="AD173" t="s">
        <v>1406</v>
      </c>
      <c r="AE173" t="s">
        <v>753</v>
      </c>
      <c r="AG173">
        <v>19144.82</v>
      </c>
      <c r="AH173">
        <v>304.89</v>
      </c>
      <c r="AI173">
        <v>77.78</v>
      </c>
      <c r="AJ173">
        <v>19527.490000000002</v>
      </c>
      <c r="AK173">
        <v>0</v>
      </c>
      <c r="AL173">
        <v>3124.4</v>
      </c>
      <c r="AM173">
        <v>390.55</v>
      </c>
      <c r="AN173">
        <v>82.99</v>
      </c>
      <c r="AO173">
        <v>86.56</v>
      </c>
      <c r="AP173">
        <v>1</v>
      </c>
      <c r="AQ173" t="s">
        <v>82</v>
      </c>
      <c r="AR173">
        <v>19527.489000000001</v>
      </c>
      <c r="AS173">
        <v>1</v>
      </c>
      <c r="AT173" t="s">
        <v>107</v>
      </c>
      <c r="AU173" t="s">
        <v>84</v>
      </c>
      <c r="AV173">
        <v>2</v>
      </c>
      <c r="AW173" t="s">
        <v>85</v>
      </c>
      <c r="AY173" t="s">
        <v>108</v>
      </c>
      <c r="BA173" t="s">
        <v>170</v>
      </c>
      <c r="BC173">
        <v>25264</v>
      </c>
      <c r="BD173">
        <v>20240917</v>
      </c>
      <c r="BE173">
        <v>19144.82</v>
      </c>
      <c r="BF173" t="s">
        <v>749</v>
      </c>
      <c r="BG173" t="s">
        <v>750</v>
      </c>
      <c r="BH173">
        <v>20240910</v>
      </c>
      <c r="BJ173" t="s">
        <v>112</v>
      </c>
      <c r="BK173" t="s">
        <v>171</v>
      </c>
    </row>
    <row r="174" spans="1:63" ht="12.75" x14ac:dyDescent="0.2">
      <c r="A174">
        <v>7</v>
      </c>
      <c r="B174">
        <v>10</v>
      </c>
      <c r="C174">
        <v>2024</v>
      </c>
      <c r="D174">
        <v>156157</v>
      </c>
      <c r="E174">
        <v>1</v>
      </c>
      <c r="F174" t="s">
        <v>65</v>
      </c>
      <c r="G174" t="s">
        <v>66</v>
      </c>
      <c r="H174">
        <v>20550731399</v>
      </c>
      <c r="I174" t="s">
        <v>67</v>
      </c>
      <c r="J174" t="s">
        <v>68</v>
      </c>
      <c r="K174" t="s">
        <v>69</v>
      </c>
      <c r="L174" t="s">
        <v>69</v>
      </c>
      <c r="M174" t="s">
        <v>70</v>
      </c>
      <c r="N174" t="s">
        <v>71</v>
      </c>
      <c r="O174" t="s">
        <v>71</v>
      </c>
      <c r="P174" t="s">
        <v>72</v>
      </c>
      <c r="Q174" t="s">
        <v>73</v>
      </c>
      <c r="R174" t="s">
        <v>74</v>
      </c>
      <c r="S174" t="s">
        <v>98</v>
      </c>
      <c r="T174" t="s">
        <v>99</v>
      </c>
      <c r="U174">
        <v>8412290000</v>
      </c>
      <c r="V174" t="s">
        <v>164</v>
      </c>
      <c r="W174" t="s">
        <v>754</v>
      </c>
      <c r="X174" t="s">
        <v>192</v>
      </c>
      <c r="Y174" t="s">
        <v>755</v>
      </c>
      <c r="Z174" t="s">
        <v>132</v>
      </c>
      <c r="AB174" t="s">
        <v>79</v>
      </c>
      <c r="AC174" t="s">
        <v>81</v>
      </c>
      <c r="AD174" t="s">
        <v>756</v>
      </c>
      <c r="AE174" t="s">
        <v>132</v>
      </c>
      <c r="AG174">
        <v>440.03</v>
      </c>
      <c r="AH174">
        <v>7.63</v>
      </c>
      <c r="AI174">
        <v>4.4000000000000004</v>
      </c>
      <c r="AJ174">
        <v>452.06</v>
      </c>
      <c r="AK174">
        <v>0</v>
      </c>
      <c r="AL174">
        <v>72.33</v>
      </c>
      <c r="AM174">
        <v>9.0399999999999991</v>
      </c>
      <c r="AN174">
        <v>3.33</v>
      </c>
      <c r="AO174">
        <v>3.48</v>
      </c>
      <c r="AP174">
        <v>12</v>
      </c>
      <c r="AQ174" t="s">
        <v>82</v>
      </c>
      <c r="AR174">
        <v>37.671999999999997</v>
      </c>
      <c r="AS174">
        <v>12</v>
      </c>
      <c r="AT174" t="s">
        <v>107</v>
      </c>
      <c r="AU174" t="s">
        <v>84</v>
      </c>
      <c r="AV174">
        <v>1</v>
      </c>
      <c r="AW174" t="s">
        <v>85</v>
      </c>
      <c r="AX174" t="s">
        <v>390</v>
      </c>
      <c r="AY174" t="s">
        <v>108</v>
      </c>
      <c r="BA174" t="s">
        <v>110</v>
      </c>
      <c r="BB174" t="s">
        <v>90</v>
      </c>
      <c r="BC174">
        <v>27484</v>
      </c>
      <c r="BD174">
        <v>20241008</v>
      </c>
      <c r="BE174">
        <v>36.668999999999997</v>
      </c>
      <c r="BG174" t="s">
        <v>757</v>
      </c>
      <c r="BH174">
        <v>20241004</v>
      </c>
      <c r="BJ174" t="s">
        <v>112</v>
      </c>
    </row>
    <row r="175" spans="1:63" ht="12.75" x14ac:dyDescent="0.2">
      <c r="A175">
        <v>7</v>
      </c>
      <c r="B175">
        <v>10</v>
      </c>
      <c r="C175">
        <v>2024</v>
      </c>
      <c r="D175">
        <v>156157</v>
      </c>
      <c r="E175">
        <v>2</v>
      </c>
      <c r="F175" t="s">
        <v>65</v>
      </c>
      <c r="G175" t="s">
        <v>66</v>
      </c>
      <c r="H175">
        <v>20550731399</v>
      </c>
      <c r="I175" t="s">
        <v>67</v>
      </c>
      <c r="J175" t="s">
        <v>68</v>
      </c>
      <c r="K175" t="s">
        <v>69</v>
      </c>
      <c r="L175" t="s">
        <v>69</v>
      </c>
      <c r="M175" t="s">
        <v>70</v>
      </c>
      <c r="N175" t="s">
        <v>71</v>
      </c>
      <c r="O175" t="s">
        <v>71</v>
      </c>
      <c r="P175" t="s">
        <v>72</v>
      </c>
      <c r="Q175" t="s">
        <v>73</v>
      </c>
      <c r="R175" t="s">
        <v>74</v>
      </c>
      <c r="S175" t="s">
        <v>98</v>
      </c>
      <c r="T175" t="s">
        <v>99</v>
      </c>
      <c r="U175">
        <v>8483500000</v>
      </c>
      <c r="V175" t="s">
        <v>328</v>
      </c>
      <c r="W175" t="s">
        <v>758</v>
      </c>
      <c r="X175">
        <v>923109</v>
      </c>
      <c r="Z175" t="s">
        <v>759</v>
      </c>
      <c r="AB175" t="s">
        <v>652</v>
      </c>
      <c r="AC175" t="s">
        <v>123</v>
      </c>
      <c r="AD175" t="s">
        <v>760</v>
      </c>
      <c r="AE175" t="s">
        <v>759</v>
      </c>
      <c r="AG175">
        <v>1764.24</v>
      </c>
      <c r="AH175">
        <v>30.6</v>
      </c>
      <c r="AI175">
        <v>17.64</v>
      </c>
      <c r="AJ175">
        <v>1812.48</v>
      </c>
      <c r="AK175">
        <v>0</v>
      </c>
      <c r="AL175">
        <v>290</v>
      </c>
      <c r="AM175">
        <v>36.25</v>
      </c>
      <c r="AN175">
        <v>13.37</v>
      </c>
      <c r="AO175">
        <v>13.94</v>
      </c>
      <c r="AP175">
        <v>2</v>
      </c>
      <c r="AQ175" t="s">
        <v>82</v>
      </c>
      <c r="AR175">
        <v>906.24</v>
      </c>
      <c r="AS175">
        <v>2</v>
      </c>
      <c r="AT175" t="s">
        <v>107</v>
      </c>
      <c r="AU175" t="s">
        <v>84</v>
      </c>
      <c r="AV175">
        <v>0</v>
      </c>
      <c r="AW175" t="s">
        <v>85</v>
      </c>
      <c r="AX175" t="s">
        <v>390</v>
      </c>
      <c r="AY175" t="s">
        <v>108</v>
      </c>
      <c r="BA175" t="s">
        <v>110</v>
      </c>
      <c r="BB175" t="s">
        <v>90</v>
      </c>
      <c r="BC175">
        <v>27484</v>
      </c>
      <c r="BD175">
        <v>20241008</v>
      </c>
      <c r="BE175">
        <v>882.12</v>
      </c>
      <c r="BG175" t="s">
        <v>757</v>
      </c>
      <c r="BH175">
        <v>20241004</v>
      </c>
      <c r="BJ175" t="s">
        <v>112</v>
      </c>
    </row>
    <row r="176" spans="1:63" ht="12.75" x14ac:dyDescent="0.2">
      <c r="A176">
        <v>7</v>
      </c>
      <c r="B176">
        <v>10</v>
      </c>
      <c r="C176">
        <v>2024</v>
      </c>
      <c r="D176">
        <v>156157</v>
      </c>
      <c r="E176">
        <v>4</v>
      </c>
      <c r="F176" t="s">
        <v>65</v>
      </c>
      <c r="G176" t="s">
        <v>66</v>
      </c>
      <c r="H176">
        <v>20550731399</v>
      </c>
      <c r="I176" t="s">
        <v>67</v>
      </c>
      <c r="J176" t="s">
        <v>68</v>
      </c>
      <c r="K176" t="s">
        <v>69</v>
      </c>
      <c r="L176" t="s">
        <v>69</v>
      </c>
      <c r="M176" t="s">
        <v>70</v>
      </c>
      <c r="N176" t="s">
        <v>71</v>
      </c>
      <c r="O176" t="s">
        <v>71</v>
      </c>
      <c r="P176" t="s">
        <v>72</v>
      </c>
      <c r="Q176" t="s">
        <v>73</v>
      </c>
      <c r="R176" t="s">
        <v>98</v>
      </c>
      <c r="S176" t="s">
        <v>98</v>
      </c>
      <c r="T176" t="s">
        <v>99</v>
      </c>
      <c r="U176">
        <v>8412290000</v>
      </c>
      <c r="V176" t="s">
        <v>164</v>
      </c>
      <c r="W176" t="s">
        <v>761</v>
      </c>
      <c r="X176" t="s">
        <v>192</v>
      </c>
      <c r="Y176" t="s">
        <v>762</v>
      </c>
      <c r="Z176" t="s">
        <v>132</v>
      </c>
      <c r="AB176" t="s">
        <v>79</v>
      </c>
      <c r="AC176" t="s">
        <v>763</v>
      </c>
      <c r="AD176" t="s">
        <v>764</v>
      </c>
      <c r="AE176" t="s">
        <v>132</v>
      </c>
      <c r="AG176">
        <v>1608.49</v>
      </c>
      <c r="AH176">
        <v>27.9</v>
      </c>
      <c r="AI176">
        <v>16.09</v>
      </c>
      <c r="AJ176">
        <v>1652.47</v>
      </c>
      <c r="AK176">
        <v>0</v>
      </c>
      <c r="AL176">
        <v>264.39999999999998</v>
      </c>
      <c r="AM176">
        <v>33.049999999999997</v>
      </c>
      <c r="AN176">
        <v>12.19</v>
      </c>
      <c r="AO176">
        <v>12.71</v>
      </c>
      <c r="AP176">
        <v>6</v>
      </c>
      <c r="AQ176" t="s">
        <v>82</v>
      </c>
      <c r="AR176">
        <v>275.41199999999998</v>
      </c>
      <c r="AS176">
        <v>6</v>
      </c>
      <c r="AT176" t="s">
        <v>107</v>
      </c>
      <c r="AU176" t="s">
        <v>84</v>
      </c>
      <c r="AV176">
        <v>0</v>
      </c>
      <c r="AW176" t="s">
        <v>85</v>
      </c>
      <c r="AX176" t="s">
        <v>390</v>
      </c>
      <c r="AY176" t="s">
        <v>108</v>
      </c>
      <c r="BA176" t="s">
        <v>110</v>
      </c>
      <c r="BB176" t="s">
        <v>90</v>
      </c>
      <c r="BC176">
        <v>27484</v>
      </c>
      <c r="BD176">
        <v>20241008</v>
      </c>
      <c r="BE176">
        <v>268.08199999999999</v>
      </c>
      <c r="BG176" t="s">
        <v>757</v>
      </c>
      <c r="BH176">
        <v>20241004</v>
      </c>
      <c r="BJ176" t="s">
        <v>112</v>
      </c>
    </row>
    <row r="177" spans="1:63" ht="12.75" x14ac:dyDescent="0.2">
      <c r="A177">
        <v>7</v>
      </c>
      <c r="B177">
        <v>10</v>
      </c>
      <c r="C177">
        <v>2024</v>
      </c>
      <c r="D177">
        <v>156157</v>
      </c>
      <c r="E177">
        <v>3</v>
      </c>
      <c r="F177" t="s">
        <v>65</v>
      </c>
      <c r="G177" t="s">
        <v>66</v>
      </c>
      <c r="H177">
        <v>20550731399</v>
      </c>
      <c r="I177" t="s">
        <v>67</v>
      </c>
      <c r="J177" t="s">
        <v>68</v>
      </c>
      <c r="K177" t="s">
        <v>69</v>
      </c>
      <c r="L177" t="s">
        <v>69</v>
      </c>
      <c r="M177" t="s">
        <v>70</v>
      </c>
      <c r="N177" t="s">
        <v>71</v>
      </c>
      <c r="O177" t="s">
        <v>71</v>
      </c>
      <c r="P177" t="s">
        <v>72</v>
      </c>
      <c r="Q177" t="s">
        <v>73</v>
      </c>
      <c r="R177" t="s">
        <v>98</v>
      </c>
      <c r="S177" t="s">
        <v>98</v>
      </c>
      <c r="T177" t="s">
        <v>99</v>
      </c>
      <c r="U177">
        <v>8412900000</v>
      </c>
      <c r="V177" t="s">
        <v>129</v>
      </c>
      <c r="W177" t="s">
        <v>765</v>
      </c>
      <c r="X177" t="s">
        <v>766</v>
      </c>
      <c r="Y177" t="s">
        <v>767</v>
      </c>
      <c r="Z177" t="s">
        <v>768</v>
      </c>
      <c r="AB177" t="s">
        <v>194</v>
      </c>
      <c r="AC177" t="s">
        <v>763</v>
      </c>
      <c r="AD177" t="s">
        <v>769</v>
      </c>
      <c r="AE177" t="s">
        <v>768</v>
      </c>
      <c r="AG177">
        <v>1578.06</v>
      </c>
      <c r="AH177">
        <v>27.37</v>
      </c>
      <c r="AI177">
        <v>15.78</v>
      </c>
      <c r="AJ177">
        <v>1621.21</v>
      </c>
      <c r="AK177">
        <v>0</v>
      </c>
      <c r="AL177">
        <v>259.39</v>
      </c>
      <c r="AM177">
        <v>32.42</v>
      </c>
      <c r="AN177">
        <v>11.96</v>
      </c>
      <c r="AO177">
        <v>12.47</v>
      </c>
      <c r="AP177">
        <v>2</v>
      </c>
      <c r="AQ177" t="s">
        <v>82</v>
      </c>
      <c r="AR177">
        <v>810.60400000000004</v>
      </c>
      <c r="AS177">
        <v>2</v>
      </c>
      <c r="AT177" t="s">
        <v>107</v>
      </c>
      <c r="AU177" t="s">
        <v>84</v>
      </c>
      <c r="AV177">
        <v>0</v>
      </c>
      <c r="AW177" t="s">
        <v>85</v>
      </c>
      <c r="AX177" t="s">
        <v>390</v>
      </c>
      <c r="AY177" t="s">
        <v>108</v>
      </c>
      <c r="BA177" t="s">
        <v>110</v>
      </c>
      <c r="BB177" t="s">
        <v>90</v>
      </c>
      <c r="BC177">
        <v>27484</v>
      </c>
      <c r="BD177">
        <v>20241008</v>
      </c>
      <c r="BE177">
        <v>789.03</v>
      </c>
      <c r="BG177" t="s">
        <v>757</v>
      </c>
      <c r="BH177">
        <v>20241004</v>
      </c>
      <c r="BJ177" t="s">
        <v>112</v>
      </c>
    </row>
    <row r="178" spans="1:63" ht="12.75" x14ac:dyDescent="0.2">
      <c r="A178">
        <v>9</v>
      </c>
      <c r="B178">
        <v>10</v>
      </c>
      <c r="C178">
        <v>2024</v>
      </c>
      <c r="D178">
        <v>391254</v>
      </c>
      <c r="E178">
        <v>2</v>
      </c>
      <c r="F178" t="s">
        <v>279</v>
      </c>
      <c r="G178" t="s">
        <v>66</v>
      </c>
      <c r="H178">
        <v>20550731399</v>
      </c>
      <c r="I178" t="s">
        <v>67</v>
      </c>
      <c r="J178" t="s">
        <v>68</v>
      </c>
      <c r="K178" t="s">
        <v>69</v>
      </c>
      <c r="L178" t="s">
        <v>69</v>
      </c>
      <c r="M178" t="s">
        <v>70</v>
      </c>
      <c r="N178" t="s">
        <v>71</v>
      </c>
      <c r="O178" t="s">
        <v>71</v>
      </c>
      <c r="P178" t="s">
        <v>280</v>
      </c>
      <c r="Q178" t="s">
        <v>73</v>
      </c>
      <c r="R178" t="s">
        <v>98</v>
      </c>
      <c r="S178" t="s">
        <v>98</v>
      </c>
      <c r="T178" t="s">
        <v>770</v>
      </c>
      <c r="U178">
        <v>8412290000</v>
      </c>
      <c r="V178" t="s">
        <v>164</v>
      </c>
      <c r="W178" t="s">
        <v>771</v>
      </c>
      <c r="X178" t="s">
        <v>772</v>
      </c>
      <c r="Y178" t="s">
        <v>773</v>
      </c>
      <c r="Z178" t="s">
        <v>774</v>
      </c>
      <c r="AB178" t="s">
        <v>167</v>
      </c>
      <c r="AC178" t="s">
        <v>763</v>
      </c>
      <c r="AD178" t="s">
        <v>775</v>
      </c>
      <c r="AE178" t="s">
        <v>774</v>
      </c>
      <c r="AG178">
        <v>10892.28</v>
      </c>
      <c r="AH178">
        <v>52.18</v>
      </c>
      <c r="AI178">
        <v>108.92</v>
      </c>
      <c r="AJ178">
        <v>11053.39</v>
      </c>
      <c r="AK178">
        <v>0</v>
      </c>
      <c r="AL178">
        <v>1768.54</v>
      </c>
      <c r="AM178">
        <v>221.07</v>
      </c>
      <c r="AN178">
        <v>428.38</v>
      </c>
      <c r="AO178">
        <v>472.03</v>
      </c>
      <c r="AP178">
        <v>4</v>
      </c>
      <c r="AQ178" t="s">
        <v>82</v>
      </c>
      <c r="AR178">
        <v>2763.346</v>
      </c>
      <c r="AS178">
        <v>4</v>
      </c>
      <c r="AT178" t="s">
        <v>290</v>
      </c>
      <c r="AU178" t="s">
        <v>776</v>
      </c>
      <c r="AV178">
        <v>0</v>
      </c>
      <c r="AW178" t="s">
        <v>85</v>
      </c>
      <c r="AX178" t="s">
        <v>390</v>
      </c>
      <c r="AY178" t="s">
        <v>108</v>
      </c>
      <c r="AZ178" t="s">
        <v>777</v>
      </c>
      <c r="BA178" t="s">
        <v>391</v>
      </c>
      <c r="BB178" t="s">
        <v>90</v>
      </c>
      <c r="BC178">
        <v>2626</v>
      </c>
      <c r="BD178">
        <v>20241010</v>
      </c>
      <c r="BE178">
        <v>2723.07</v>
      </c>
      <c r="BF178" t="s">
        <v>778</v>
      </c>
      <c r="BG178" t="s">
        <v>779</v>
      </c>
      <c r="BH178">
        <v>20240911</v>
      </c>
      <c r="BI178" t="s">
        <v>780</v>
      </c>
      <c r="BJ178" t="s">
        <v>112</v>
      </c>
    </row>
    <row r="179" spans="1:63" ht="12.75" x14ac:dyDescent="0.2">
      <c r="A179">
        <v>9</v>
      </c>
      <c r="B179">
        <v>10</v>
      </c>
      <c r="C179">
        <v>2024</v>
      </c>
      <c r="D179">
        <v>391254</v>
      </c>
      <c r="E179">
        <v>1</v>
      </c>
      <c r="F179" t="s">
        <v>279</v>
      </c>
      <c r="G179" t="s">
        <v>66</v>
      </c>
      <c r="H179">
        <v>20550731399</v>
      </c>
      <c r="I179" t="s">
        <v>67</v>
      </c>
      <c r="J179" t="s">
        <v>68</v>
      </c>
      <c r="K179" t="s">
        <v>69</v>
      </c>
      <c r="L179" t="s">
        <v>69</v>
      </c>
      <c r="M179" t="s">
        <v>70</v>
      </c>
      <c r="N179" t="s">
        <v>71</v>
      </c>
      <c r="O179" t="s">
        <v>71</v>
      </c>
      <c r="P179" t="s">
        <v>280</v>
      </c>
      <c r="Q179" t="s">
        <v>73</v>
      </c>
      <c r="R179" t="s">
        <v>98</v>
      </c>
      <c r="S179" t="s">
        <v>98</v>
      </c>
      <c r="T179" t="s">
        <v>770</v>
      </c>
      <c r="U179">
        <v>8412290000</v>
      </c>
      <c r="V179" t="s">
        <v>164</v>
      </c>
      <c r="W179" t="s">
        <v>781</v>
      </c>
      <c r="X179" t="s">
        <v>782</v>
      </c>
      <c r="Y179" t="s">
        <v>783</v>
      </c>
      <c r="Z179" t="s">
        <v>774</v>
      </c>
      <c r="AB179" t="s">
        <v>167</v>
      </c>
      <c r="AC179" t="s">
        <v>763</v>
      </c>
      <c r="AD179" t="s">
        <v>784</v>
      </c>
      <c r="AE179" t="s">
        <v>774</v>
      </c>
      <c r="AG179">
        <v>18805.740000000002</v>
      </c>
      <c r="AH179">
        <v>90.09</v>
      </c>
      <c r="AI179">
        <v>188.06</v>
      </c>
      <c r="AJ179">
        <v>19083.89</v>
      </c>
      <c r="AK179">
        <v>0</v>
      </c>
      <c r="AL179">
        <v>3053.42</v>
      </c>
      <c r="AM179">
        <v>381.68</v>
      </c>
      <c r="AN179">
        <v>739.62</v>
      </c>
      <c r="AO179">
        <v>814.97</v>
      </c>
      <c r="AP179">
        <v>6</v>
      </c>
      <c r="AQ179" t="s">
        <v>82</v>
      </c>
      <c r="AR179">
        <v>3180.6480000000001</v>
      </c>
      <c r="AS179">
        <v>6</v>
      </c>
      <c r="AT179" t="s">
        <v>290</v>
      </c>
      <c r="AU179" t="s">
        <v>776</v>
      </c>
      <c r="AV179">
        <v>4</v>
      </c>
      <c r="AW179" t="s">
        <v>85</v>
      </c>
      <c r="AX179" t="s">
        <v>390</v>
      </c>
      <c r="AY179" t="s">
        <v>108</v>
      </c>
      <c r="AZ179" t="s">
        <v>777</v>
      </c>
      <c r="BA179" t="s">
        <v>391</v>
      </c>
      <c r="BB179" t="s">
        <v>90</v>
      </c>
      <c r="BC179">
        <v>2626</v>
      </c>
      <c r="BD179">
        <v>20241010</v>
      </c>
      <c r="BE179">
        <v>3134.29</v>
      </c>
      <c r="BF179" t="s">
        <v>778</v>
      </c>
      <c r="BG179" t="s">
        <v>779</v>
      </c>
      <c r="BH179">
        <v>20240911</v>
      </c>
      <c r="BI179" t="s">
        <v>780</v>
      </c>
      <c r="BJ179" t="s">
        <v>112</v>
      </c>
    </row>
    <row r="180" spans="1:63" ht="12.75" x14ac:dyDescent="0.2">
      <c r="A180">
        <v>15</v>
      </c>
      <c r="B180">
        <v>10</v>
      </c>
      <c r="C180">
        <v>2024</v>
      </c>
      <c r="D180">
        <v>161021</v>
      </c>
      <c r="E180">
        <v>1</v>
      </c>
      <c r="F180" t="s">
        <v>65</v>
      </c>
      <c r="G180" t="s">
        <v>66</v>
      </c>
      <c r="H180">
        <v>20550731399</v>
      </c>
      <c r="I180" t="s">
        <v>67</v>
      </c>
      <c r="J180" t="s">
        <v>68</v>
      </c>
      <c r="K180" t="s">
        <v>69</v>
      </c>
      <c r="L180" t="s">
        <v>69</v>
      </c>
      <c r="M180" t="s">
        <v>70</v>
      </c>
      <c r="N180" t="s">
        <v>71</v>
      </c>
      <c r="O180" t="s">
        <v>71</v>
      </c>
      <c r="P180" t="s">
        <v>72</v>
      </c>
      <c r="Q180" t="s">
        <v>73</v>
      </c>
      <c r="R180" t="s">
        <v>117</v>
      </c>
      <c r="S180" t="s">
        <v>74</v>
      </c>
      <c r="T180" t="s">
        <v>246</v>
      </c>
      <c r="U180">
        <v>8483609000</v>
      </c>
      <c r="V180" t="s">
        <v>381</v>
      </c>
      <c r="W180" t="s">
        <v>785</v>
      </c>
      <c r="Y180" t="s">
        <v>786</v>
      </c>
      <c r="Z180" t="s">
        <v>787</v>
      </c>
      <c r="AA180" t="s">
        <v>147</v>
      </c>
      <c r="AG180">
        <v>3487</v>
      </c>
      <c r="AH180">
        <v>188.58</v>
      </c>
      <c r="AI180">
        <v>34.869999999999997</v>
      </c>
      <c r="AJ180">
        <v>3710.45</v>
      </c>
      <c r="AK180">
        <v>0</v>
      </c>
      <c r="AL180">
        <v>593.66999999999996</v>
      </c>
      <c r="AM180">
        <v>74.209999999999994</v>
      </c>
      <c r="AN180">
        <v>28.5</v>
      </c>
      <c r="AO180">
        <v>30</v>
      </c>
      <c r="AP180">
        <v>1</v>
      </c>
      <c r="AQ180" t="s">
        <v>82</v>
      </c>
      <c r="AR180">
        <v>3710.45</v>
      </c>
      <c r="AS180">
        <v>1</v>
      </c>
      <c r="AT180" t="s">
        <v>107</v>
      </c>
      <c r="AU180" t="s">
        <v>84</v>
      </c>
      <c r="AV180">
        <v>1</v>
      </c>
      <c r="AW180" t="s">
        <v>85</v>
      </c>
      <c r="AY180" t="s">
        <v>87</v>
      </c>
      <c r="AZ180" t="s">
        <v>88</v>
      </c>
      <c r="BA180" t="s">
        <v>89</v>
      </c>
      <c r="BC180">
        <v>26902</v>
      </c>
      <c r="BD180">
        <v>20241016</v>
      </c>
      <c r="BE180">
        <v>3487</v>
      </c>
      <c r="BG180">
        <v>3801282192</v>
      </c>
      <c r="BH180">
        <v>20241007</v>
      </c>
      <c r="BJ180" t="s">
        <v>89</v>
      </c>
      <c r="BK180" t="s">
        <v>171</v>
      </c>
    </row>
    <row r="181" spans="1:63" ht="12.75" x14ac:dyDescent="0.2">
      <c r="A181">
        <v>17</v>
      </c>
      <c r="B181">
        <v>10</v>
      </c>
      <c r="C181">
        <v>2024</v>
      </c>
      <c r="D181">
        <v>162458</v>
      </c>
      <c r="E181">
        <v>2</v>
      </c>
      <c r="F181" t="s">
        <v>65</v>
      </c>
      <c r="G181" t="s">
        <v>66</v>
      </c>
      <c r="H181">
        <v>20550731399</v>
      </c>
      <c r="I181" t="s">
        <v>67</v>
      </c>
      <c r="J181" t="s">
        <v>68</v>
      </c>
      <c r="K181" t="s">
        <v>69</v>
      </c>
      <c r="L181" t="s">
        <v>69</v>
      </c>
      <c r="M181" t="s">
        <v>70</v>
      </c>
      <c r="N181" t="s">
        <v>71</v>
      </c>
      <c r="O181" t="s">
        <v>71</v>
      </c>
      <c r="P181" t="s">
        <v>72</v>
      </c>
      <c r="Q181" t="s">
        <v>73</v>
      </c>
      <c r="R181" t="s">
        <v>228</v>
      </c>
      <c r="S181" t="s">
        <v>74</v>
      </c>
      <c r="T181" t="s">
        <v>75</v>
      </c>
      <c r="U181">
        <v>8413919000</v>
      </c>
      <c r="V181" t="s">
        <v>229</v>
      </c>
      <c r="W181" t="s">
        <v>788</v>
      </c>
      <c r="X181" t="s">
        <v>789</v>
      </c>
      <c r="Y181" t="s">
        <v>790</v>
      </c>
      <c r="Z181" t="s">
        <v>791</v>
      </c>
      <c r="AA181" t="s">
        <v>107</v>
      </c>
      <c r="AB181" t="s">
        <v>789</v>
      </c>
      <c r="AC181" t="s">
        <v>792</v>
      </c>
      <c r="AD181" t="s">
        <v>791</v>
      </c>
      <c r="AE181" t="s">
        <v>107</v>
      </c>
      <c r="AG181">
        <v>941.42</v>
      </c>
      <c r="AH181">
        <v>41.72</v>
      </c>
      <c r="AI181">
        <v>9.41</v>
      </c>
      <c r="AJ181">
        <v>992.56</v>
      </c>
      <c r="AK181">
        <v>0</v>
      </c>
      <c r="AL181">
        <v>158.81</v>
      </c>
      <c r="AM181">
        <v>19.850000000000001</v>
      </c>
      <c r="AN181">
        <v>12.17</v>
      </c>
      <c r="AO181">
        <v>13.15</v>
      </c>
      <c r="AP181">
        <v>1</v>
      </c>
      <c r="AQ181" t="s">
        <v>82</v>
      </c>
      <c r="AR181">
        <v>992.55799999999999</v>
      </c>
      <c r="AS181">
        <v>1</v>
      </c>
      <c r="AT181" t="s">
        <v>107</v>
      </c>
      <c r="AU181" t="s">
        <v>84</v>
      </c>
      <c r="AV181">
        <v>0</v>
      </c>
      <c r="AW181" t="s">
        <v>85</v>
      </c>
      <c r="AX181" t="s">
        <v>235</v>
      </c>
      <c r="AY181" t="s">
        <v>87</v>
      </c>
      <c r="AZ181" t="s">
        <v>88</v>
      </c>
      <c r="BA181" t="s">
        <v>89</v>
      </c>
      <c r="BC181">
        <v>26905</v>
      </c>
      <c r="BD181">
        <v>20241021</v>
      </c>
      <c r="BE181">
        <v>941.42</v>
      </c>
      <c r="BG181">
        <v>9478695726</v>
      </c>
      <c r="BH181">
        <v>20241015</v>
      </c>
      <c r="BJ181" t="s">
        <v>89</v>
      </c>
      <c r="BK181" t="s">
        <v>91</v>
      </c>
    </row>
    <row r="182" spans="1:63" ht="12.75" x14ac:dyDescent="0.2">
      <c r="A182">
        <v>17</v>
      </c>
      <c r="B182">
        <v>10</v>
      </c>
      <c r="C182">
        <v>2024</v>
      </c>
      <c r="D182">
        <v>162458</v>
      </c>
      <c r="E182">
        <v>3</v>
      </c>
      <c r="F182" t="s">
        <v>65</v>
      </c>
      <c r="G182" t="s">
        <v>66</v>
      </c>
      <c r="H182">
        <v>20550731399</v>
      </c>
      <c r="I182" t="s">
        <v>67</v>
      </c>
      <c r="J182" t="s">
        <v>68</v>
      </c>
      <c r="K182" t="s">
        <v>69</v>
      </c>
      <c r="L182" t="s">
        <v>69</v>
      </c>
      <c r="M182" t="s">
        <v>70</v>
      </c>
      <c r="N182" t="s">
        <v>71</v>
      </c>
      <c r="O182" t="s">
        <v>71</v>
      </c>
      <c r="P182" t="s">
        <v>72</v>
      </c>
      <c r="Q182" t="s">
        <v>73</v>
      </c>
      <c r="R182" t="s">
        <v>228</v>
      </c>
      <c r="S182" t="s">
        <v>74</v>
      </c>
      <c r="T182" t="s">
        <v>75</v>
      </c>
      <c r="U182">
        <v>4016930000</v>
      </c>
      <c r="V182" t="s">
        <v>76</v>
      </c>
      <c r="W182" t="s">
        <v>793</v>
      </c>
      <c r="X182" t="s">
        <v>79</v>
      </c>
      <c r="Y182" t="s">
        <v>137</v>
      </c>
      <c r="Z182" t="s">
        <v>794</v>
      </c>
      <c r="AA182" t="s">
        <v>107</v>
      </c>
      <c r="AB182" t="s">
        <v>79</v>
      </c>
      <c r="AC182" t="s">
        <v>792</v>
      </c>
      <c r="AD182" t="s">
        <v>1407</v>
      </c>
      <c r="AE182" t="s">
        <v>107</v>
      </c>
      <c r="AG182">
        <v>421.98</v>
      </c>
      <c r="AH182">
        <v>18.7</v>
      </c>
      <c r="AI182">
        <v>7.38</v>
      </c>
      <c r="AJ182">
        <v>448.07</v>
      </c>
      <c r="AK182">
        <v>26.88</v>
      </c>
      <c r="AL182">
        <v>75.989999999999995</v>
      </c>
      <c r="AM182">
        <v>9.5</v>
      </c>
      <c r="AN182">
        <v>5.46</v>
      </c>
      <c r="AO182">
        <v>5.89</v>
      </c>
      <c r="AP182">
        <v>15</v>
      </c>
      <c r="AQ182" t="s">
        <v>82</v>
      </c>
      <c r="AR182">
        <v>29.870999999999999</v>
      </c>
      <c r="AS182">
        <v>15</v>
      </c>
      <c r="AT182" t="s">
        <v>107</v>
      </c>
      <c r="AU182" t="s">
        <v>84</v>
      </c>
      <c r="AV182">
        <v>0</v>
      </c>
      <c r="AW182" t="s">
        <v>85</v>
      </c>
      <c r="AX182" t="s">
        <v>235</v>
      </c>
      <c r="AY182" t="s">
        <v>87</v>
      </c>
      <c r="AZ182" t="s">
        <v>88</v>
      </c>
      <c r="BA182" t="s">
        <v>89</v>
      </c>
      <c r="BC182">
        <v>26905</v>
      </c>
      <c r="BD182">
        <v>20241021</v>
      </c>
      <c r="BE182">
        <v>28.132000000000001</v>
      </c>
      <c r="BG182">
        <v>9478695726</v>
      </c>
      <c r="BH182">
        <v>20241015</v>
      </c>
      <c r="BJ182" t="s">
        <v>89</v>
      </c>
      <c r="BK182" t="s">
        <v>91</v>
      </c>
    </row>
    <row r="183" spans="1:63" ht="12.75" x14ac:dyDescent="0.2">
      <c r="A183">
        <v>17</v>
      </c>
      <c r="B183">
        <v>10</v>
      </c>
      <c r="C183">
        <v>2024</v>
      </c>
      <c r="D183">
        <v>162458</v>
      </c>
      <c r="E183">
        <v>1</v>
      </c>
      <c r="F183" t="s">
        <v>65</v>
      </c>
      <c r="G183" t="s">
        <v>66</v>
      </c>
      <c r="H183">
        <v>20550731399</v>
      </c>
      <c r="I183" t="s">
        <v>67</v>
      </c>
      <c r="J183" t="s">
        <v>68</v>
      </c>
      <c r="K183" t="s">
        <v>69</v>
      </c>
      <c r="L183" t="s">
        <v>69</v>
      </c>
      <c r="M183" t="s">
        <v>70</v>
      </c>
      <c r="N183" t="s">
        <v>71</v>
      </c>
      <c r="O183" t="s">
        <v>71</v>
      </c>
      <c r="P183" t="s">
        <v>72</v>
      </c>
      <c r="Q183" t="s">
        <v>73</v>
      </c>
      <c r="R183" t="s">
        <v>228</v>
      </c>
      <c r="S183" t="s">
        <v>74</v>
      </c>
      <c r="T183" t="s">
        <v>75</v>
      </c>
      <c r="U183">
        <v>8413919000</v>
      </c>
      <c r="V183" t="s">
        <v>229</v>
      </c>
      <c r="W183" t="s">
        <v>795</v>
      </c>
      <c r="X183" t="s">
        <v>789</v>
      </c>
      <c r="Y183" t="s">
        <v>790</v>
      </c>
      <c r="Z183" t="s">
        <v>796</v>
      </c>
      <c r="AA183" t="s">
        <v>107</v>
      </c>
      <c r="AB183" t="s">
        <v>789</v>
      </c>
      <c r="AC183" t="s">
        <v>792</v>
      </c>
      <c r="AD183" t="s">
        <v>796</v>
      </c>
      <c r="AE183" t="s">
        <v>107</v>
      </c>
      <c r="AG183">
        <v>2779.06</v>
      </c>
      <c r="AH183">
        <v>123.17</v>
      </c>
      <c r="AI183">
        <v>27.79</v>
      </c>
      <c r="AJ183">
        <v>2930.02</v>
      </c>
      <c r="AK183">
        <v>0</v>
      </c>
      <c r="AL183">
        <v>468.8</v>
      </c>
      <c r="AM183">
        <v>58.6</v>
      </c>
      <c r="AN183">
        <v>35.92</v>
      </c>
      <c r="AO183">
        <v>38.81</v>
      </c>
      <c r="AP183">
        <v>3</v>
      </c>
      <c r="AQ183" t="s">
        <v>82</v>
      </c>
      <c r="AR183">
        <v>976.673</v>
      </c>
      <c r="AS183">
        <v>3</v>
      </c>
      <c r="AT183" t="s">
        <v>107</v>
      </c>
      <c r="AU183" t="s">
        <v>84</v>
      </c>
      <c r="AV183">
        <v>1</v>
      </c>
      <c r="AW183" t="s">
        <v>85</v>
      </c>
      <c r="AX183" t="s">
        <v>235</v>
      </c>
      <c r="AY183" t="s">
        <v>87</v>
      </c>
      <c r="AZ183" t="s">
        <v>88</v>
      </c>
      <c r="BA183" t="s">
        <v>89</v>
      </c>
      <c r="BC183">
        <v>26905</v>
      </c>
      <c r="BD183">
        <v>20241021</v>
      </c>
      <c r="BE183">
        <v>926.35299999999995</v>
      </c>
      <c r="BG183">
        <v>9478695726</v>
      </c>
      <c r="BH183">
        <v>20241015</v>
      </c>
      <c r="BJ183" t="s">
        <v>89</v>
      </c>
      <c r="BK183" t="s">
        <v>91</v>
      </c>
    </row>
    <row r="184" spans="1:63" ht="12.75" x14ac:dyDescent="0.2">
      <c r="A184">
        <v>17</v>
      </c>
      <c r="B184">
        <v>10</v>
      </c>
      <c r="C184">
        <v>2024</v>
      </c>
      <c r="D184">
        <v>162458</v>
      </c>
      <c r="E184">
        <v>4</v>
      </c>
      <c r="F184" t="s">
        <v>65</v>
      </c>
      <c r="G184" t="s">
        <v>66</v>
      </c>
      <c r="H184">
        <v>20550731399</v>
      </c>
      <c r="I184" t="s">
        <v>67</v>
      </c>
      <c r="J184" t="s">
        <v>68</v>
      </c>
      <c r="K184" t="s">
        <v>69</v>
      </c>
      <c r="L184" t="s">
        <v>69</v>
      </c>
      <c r="M184" t="s">
        <v>70</v>
      </c>
      <c r="N184" t="s">
        <v>71</v>
      </c>
      <c r="O184" t="s">
        <v>71</v>
      </c>
      <c r="P184" t="s">
        <v>72</v>
      </c>
      <c r="Q184" t="s">
        <v>73</v>
      </c>
      <c r="R184" t="s">
        <v>228</v>
      </c>
      <c r="S184" t="s">
        <v>74</v>
      </c>
      <c r="T184" t="s">
        <v>75</v>
      </c>
      <c r="U184">
        <v>4016930000</v>
      </c>
      <c r="V184" t="s">
        <v>76</v>
      </c>
      <c r="W184" t="s">
        <v>797</v>
      </c>
      <c r="X184" t="s">
        <v>79</v>
      </c>
      <c r="Y184" t="s">
        <v>137</v>
      </c>
      <c r="Z184" t="s">
        <v>798</v>
      </c>
      <c r="AA184" t="s">
        <v>107</v>
      </c>
      <c r="AB184" t="s">
        <v>79</v>
      </c>
      <c r="AC184" t="s">
        <v>792</v>
      </c>
      <c r="AD184" t="s">
        <v>1408</v>
      </c>
      <c r="AE184" t="s">
        <v>107</v>
      </c>
      <c r="AG184">
        <v>112.53</v>
      </c>
      <c r="AH184">
        <v>4.99</v>
      </c>
      <c r="AI184">
        <v>1.97</v>
      </c>
      <c r="AJ184">
        <v>119.49</v>
      </c>
      <c r="AK184">
        <v>7.17</v>
      </c>
      <c r="AL184">
        <v>20.27</v>
      </c>
      <c r="AM184">
        <v>2.5299999999999998</v>
      </c>
      <c r="AN184">
        <v>1.45</v>
      </c>
      <c r="AO184">
        <v>1.57</v>
      </c>
      <c r="AP184">
        <v>8</v>
      </c>
      <c r="AQ184" t="s">
        <v>82</v>
      </c>
      <c r="AR184">
        <v>14.936</v>
      </c>
      <c r="AS184">
        <v>8</v>
      </c>
      <c r="AT184" t="s">
        <v>107</v>
      </c>
      <c r="AU184" t="s">
        <v>84</v>
      </c>
      <c r="AV184">
        <v>0</v>
      </c>
      <c r="AW184" t="s">
        <v>85</v>
      </c>
      <c r="AX184" t="s">
        <v>235</v>
      </c>
      <c r="AY184" t="s">
        <v>87</v>
      </c>
      <c r="AZ184" t="s">
        <v>88</v>
      </c>
      <c r="BA184" t="s">
        <v>89</v>
      </c>
      <c r="BC184">
        <v>26905</v>
      </c>
      <c r="BD184">
        <v>20241021</v>
      </c>
      <c r="BE184">
        <v>14.066000000000001</v>
      </c>
      <c r="BG184">
        <v>9478695726</v>
      </c>
      <c r="BH184">
        <v>20241015</v>
      </c>
      <c r="BJ184" t="s">
        <v>89</v>
      </c>
      <c r="BK184" t="s">
        <v>91</v>
      </c>
    </row>
    <row r="185" spans="1:63" ht="12.75" x14ac:dyDescent="0.2">
      <c r="A185">
        <v>12</v>
      </c>
      <c r="B185">
        <v>11</v>
      </c>
      <c r="C185">
        <v>2024</v>
      </c>
      <c r="D185">
        <v>446984</v>
      </c>
      <c r="E185">
        <v>1</v>
      </c>
      <c r="F185" t="s">
        <v>279</v>
      </c>
      <c r="G185" t="s">
        <v>66</v>
      </c>
      <c r="H185">
        <v>20550731399</v>
      </c>
      <c r="I185" t="s">
        <v>67</v>
      </c>
      <c r="J185" t="s">
        <v>68</v>
      </c>
      <c r="K185" t="s">
        <v>69</v>
      </c>
      <c r="L185" t="s">
        <v>69</v>
      </c>
      <c r="M185" t="s">
        <v>70</v>
      </c>
      <c r="N185" t="s">
        <v>71</v>
      </c>
      <c r="O185" t="s">
        <v>71</v>
      </c>
      <c r="P185" t="s">
        <v>280</v>
      </c>
      <c r="Q185" t="s">
        <v>73</v>
      </c>
      <c r="R185" t="s">
        <v>98</v>
      </c>
      <c r="S185" t="s">
        <v>799</v>
      </c>
      <c r="T185" t="s">
        <v>800</v>
      </c>
      <c r="U185">
        <v>8482100000</v>
      </c>
      <c r="V185" t="s">
        <v>530</v>
      </c>
      <c r="W185" t="s">
        <v>801</v>
      </c>
      <c r="X185" t="s">
        <v>802</v>
      </c>
      <c r="Z185" t="s">
        <v>803</v>
      </c>
      <c r="AB185" t="s">
        <v>804</v>
      </c>
      <c r="AC185" t="s">
        <v>805</v>
      </c>
      <c r="AD185" t="str">
        <f>+Tabla1[[#This Row],[DESCRIPCIÓN DE MERCANCÍA 1]]</f>
        <v>07220015</v>
      </c>
      <c r="AE185" t="s">
        <v>803</v>
      </c>
      <c r="AG185">
        <v>3816.55</v>
      </c>
      <c r="AH185">
        <v>20.47</v>
      </c>
      <c r="AI185">
        <v>16.98</v>
      </c>
      <c r="AJ185">
        <v>3853.99</v>
      </c>
      <c r="AK185">
        <v>0</v>
      </c>
      <c r="AL185">
        <v>616.64</v>
      </c>
      <c r="AM185">
        <v>77.08</v>
      </c>
      <c r="AN185">
        <v>61</v>
      </c>
      <c r="AO185">
        <v>67.19</v>
      </c>
      <c r="AP185">
        <v>1</v>
      </c>
      <c r="AQ185" t="s">
        <v>82</v>
      </c>
      <c r="AR185">
        <v>3853.9929999999999</v>
      </c>
      <c r="AS185">
        <v>1</v>
      </c>
      <c r="AT185" t="s">
        <v>107</v>
      </c>
      <c r="AU185" t="s">
        <v>84</v>
      </c>
      <c r="AV185">
        <v>1</v>
      </c>
      <c r="AW185" t="s">
        <v>85</v>
      </c>
      <c r="AY185" t="s">
        <v>108</v>
      </c>
      <c r="AZ185" t="s">
        <v>806</v>
      </c>
      <c r="BA185" t="s">
        <v>807</v>
      </c>
      <c r="BB185" t="s">
        <v>90</v>
      </c>
      <c r="BC185">
        <v>2908</v>
      </c>
      <c r="BD185">
        <v>20241115</v>
      </c>
      <c r="BE185">
        <v>3816.55</v>
      </c>
      <c r="BF185" t="s">
        <v>808</v>
      </c>
      <c r="BG185" t="s">
        <v>809</v>
      </c>
      <c r="BH185">
        <v>20241018</v>
      </c>
      <c r="BI185" t="s">
        <v>810</v>
      </c>
      <c r="BJ185" t="s">
        <v>226</v>
      </c>
    </row>
    <row r="186" spans="1:63" ht="12.75" x14ac:dyDescent="0.2">
      <c r="A186">
        <v>12</v>
      </c>
      <c r="B186">
        <v>11</v>
      </c>
      <c r="C186">
        <v>2024</v>
      </c>
      <c r="D186">
        <v>446984</v>
      </c>
      <c r="E186">
        <v>3</v>
      </c>
      <c r="F186" t="s">
        <v>279</v>
      </c>
      <c r="G186" t="s">
        <v>66</v>
      </c>
      <c r="H186">
        <v>20550731399</v>
      </c>
      <c r="I186" t="s">
        <v>67</v>
      </c>
      <c r="J186" t="s">
        <v>68</v>
      </c>
      <c r="K186" t="s">
        <v>69</v>
      </c>
      <c r="L186" t="s">
        <v>69</v>
      </c>
      <c r="M186" t="s">
        <v>70</v>
      </c>
      <c r="N186" t="s">
        <v>71</v>
      </c>
      <c r="O186" t="s">
        <v>71</v>
      </c>
      <c r="P186" t="s">
        <v>280</v>
      </c>
      <c r="Q186" t="s">
        <v>73</v>
      </c>
      <c r="R186" t="s">
        <v>98</v>
      </c>
      <c r="S186" t="s">
        <v>799</v>
      </c>
      <c r="T186" t="s">
        <v>800</v>
      </c>
      <c r="U186">
        <v>8482100000</v>
      </c>
      <c r="V186" t="s">
        <v>530</v>
      </c>
      <c r="W186" t="s">
        <v>801</v>
      </c>
      <c r="X186" t="s">
        <v>811</v>
      </c>
      <c r="Z186" t="s">
        <v>812</v>
      </c>
      <c r="AB186" t="s">
        <v>804</v>
      </c>
      <c r="AC186" t="s">
        <v>805</v>
      </c>
      <c r="AD186" t="str">
        <f>+Tabla1[[#This Row],[DESCRIPCIÓN DE MERCANCÍA 1]]</f>
        <v>07220014</v>
      </c>
      <c r="AE186" t="s">
        <v>812</v>
      </c>
      <c r="AG186">
        <v>13449.42</v>
      </c>
      <c r="AH186">
        <v>89.24</v>
      </c>
      <c r="AI186">
        <v>59.83</v>
      </c>
      <c r="AJ186">
        <v>13598.49</v>
      </c>
      <c r="AK186">
        <v>0</v>
      </c>
      <c r="AL186">
        <v>2175.7600000000002</v>
      </c>
      <c r="AM186">
        <v>271.97000000000003</v>
      </c>
      <c r="AN186">
        <v>266</v>
      </c>
      <c r="AO186">
        <v>292.98</v>
      </c>
      <c r="AP186">
        <v>1</v>
      </c>
      <c r="AQ186" t="s">
        <v>82</v>
      </c>
      <c r="AR186">
        <v>13598.49</v>
      </c>
      <c r="AS186">
        <v>1</v>
      </c>
      <c r="AT186" t="s">
        <v>290</v>
      </c>
      <c r="AU186" t="s">
        <v>84</v>
      </c>
      <c r="AV186">
        <v>0</v>
      </c>
      <c r="AW186" t="s">
        <v>85</v>
      </c>
      <c r="AY186" t="s">
        <v>108</v>
      </c>
      <c r="AZ186" t="s">
        <v>806</v>
      </c>
      <c r="BA186" t="s">
        <v>807</v>
      </c>
      <c r="BB186" t="s">
        <v>90</v>
      </c>
      <c r="BC186">
        <v>2908</v>
      </c>
      <c r="BD186">
        <v>20241115</v>
      </c>
      <c r="BE186">
        <v>13449.42</v>
      </c>
      <c r="BF186" t="s">
        <v>808</v>
      </c>
      <c r="BG186" t="s">
        <v>809</v>
      </c>
      <c r="BH186">
        <v>20241018</v>
      </c>
      <c r="BI186" t="s">
        <v>810</v>
      </c>
      <c r="BJ186" t="s">
        <v>226</v>
      </c>
    </row>
    <row r="187" spans="1:63" ht="12.75" x14ac:dyDescent="0.2">
      <c r="A187">
        <v>12</v>
      </c>
      <c r="B187">
        <v>11</v>
      </c>
      <c r="C187">
        <v>2024</v>
      </c>
      <c r="D187">
        <v>446984</v>
      </c>
      <c r="E187">
        <v>4</v>
      </c>
      <c r="F187" t="s">
        <v>279</v>
      </c>
      <c r="G187" t="s">
        <v>66</v>
      </c>
      <c r="H187">
        <v>20550731399</v>
      </c>
      <c r="I187" t="s">
        <v>67</v>
      </c>
      <c r="J187" t="s">
        <v>68</v>
      </c>
      <c r="K187" t="s">
        <v>69</v>
      </c>
      <c r="L187" t="s">
        <v>69</v>
      </c>
      <c r="M187" t="s">
        <v>70</v>
      </c>
      <c r="N187" t="s">
        <v>71</v>
      </c>
      <c r="O187" t="s">
        <v>71</v>
      </c>
      <c r="P187" t="s">
        <v>280</v>
      </c>
      <c r="Q187" t="s">
        <v>73</v>
      </c>
      <c r="R187" t="s">
        <v>799</v>
      </c>
      <c r="S187" t="s">
        <v>799</v>
      </c>
      <c r="T187" t="s">
        <v>800</v>
      </c>
      <c r="U187">
        <v>7318159000</v>
      </c>
      <c r="V187" t="s">
        <v>252</v>
      </c>
      <c r="W187" t="s">
        <v>813</v>
      </c>
      <c r="X187" t="s">
        <v>814</v>
      </c>
      <c r="Z187" t="s">
        <v>815</v>
      </c>
      <c r="AB187" t="s">
        <v>816</v>
      </c>
      <c r="AC187" t="s">
        <v>805</v>
      </c>
      <c r="AD187" t="str">
        <f>+Tabla1[[#This Row],[DESCRIPCIÓN DE MERCANCÍA 1]]</f>
        <v>05155317</v>
      </c>
      <c r="AE187" t="s">
        <v>815</v>
      </c>
      <c r="AG187">
        <v>1011.24</v>
      </c>
      <c r="AH187">
        <v>11.07</v>
      </c>
      <c r="AI187">
        <v>4.5</v>
      </c>
      <c r="AJ187">
        <v>1026.81</v>
      </c>
      <c r="AK187">
        <v>61.61</v>
      </c>
      <c r="AL187">
        <v>174.15</v>
      </c>
      <c r="AM187">
        <v>21.77</v>
      </c>
      <c r="AN187">
        <v>33</v>
      </c>
      <c r="AO187">
        <v>36.35</v>
      </c>
      <c r="AP187">
        <v>33</v>
      </c>
      <c r="AQ187" t="s">
        <v>251</v>
      </c>
      <c r="AR187">
        <v>31.114999999999998</v>
      </c>
      <c r="AS187">
        <v>1</v>
      </c>
      <c r="AT187" t="s">
        <v>290</v>
      </c>
      <c r="AU187" t="s">
        <v>84</v>
      </c>
      <c r="AV187">
        <v>0</v>
      </c>
      <c r="AW187" t="s">
        <v>85</v>
      </c>
      <c r="AY187" t="s">
        <v>108</v>
      </c>
      <c r="AZ187" t="s">
        <v>806</v>
      </c>
      <c r="BA187" t="s">
        <v>807</v>
      </c>
      <c r="BB187" t="s">
        <v>90</v>
      </c>
      <c r="BC187">
        <v>2908</v>
      </c>
      <c r="BD187">
        <v>20241115</v>
      </c>
      <c r="BE187">
        <v>30.643999999999998</v>
      </c>
      <c r="BF187" t="s">
        <v>808</v>
      </c>
      <c r="BG187" t="s">
        <v>809</v>
      </c>
      <c r="BH187">
        <v>20241018</v>
      </c>
      <c r="BI187" t="s">
        <v>810</v>
      </c>
      <c r="BJ187" t="s">
        <v>226</v>
      </c>
    </row>
    <row r="188" spans="1:63" ht="12.75" x14ac:dyDescent="0.2">
      <c r="A188">
        <v>12</v>
      </c>
      <c r="B188">
        <v>11</v>
      </c>
      <c r="C188">
        <v>2024</v>
      </c>
      <c r="D188">
        <v>446984</v>
      </c>
      <c r="E188">
        <v>2</v>
      </c>
      <c r="F188" t="s">
        <v>279</v>
      </c>
      <c r="G188" t="s">
        <v>66</v>
      </c>
      <c r="H188">
        <v>20550731399</v>
      </c>
      <c r="I188" t="s">
        <v>67</v>
      </c>
      <c r="J188" t="s">
        <v>68</v>
      </c>
      <c r="K188" t="s">
        <v>69</v>
      </c>
      <c r="L188" t="s">
        <v>69</v>
      </c>
      <c r="M188" t="s">
        <v>70</v>
      </c>
      <c r="N188" t="s">
        <v>71</v>
      </c>
      <c r="O188" t="s">
        <v>71</v>
      </c>
      <c r="P188" t="s">
        <v>280</v>
      </c>
      <c r="Q188" t="s">
        <v>73</v>
      </c>
      <c r="R188" t="s">
        <v>799</v>
      </c>
      <c r="S188" t="s">
        <v>799</v>
      </c>
      <c r="T188" t="s">
        <v>800</v>
      </c>
      <c r="U188">
        <v>7318159000</v>
      </c>
      <c r="V188" t="s">
        <v>252</v>
      </c>
      <c r="W188" t="s">
        <v>813</v>
      </c>
      <c r="X188" t="s">
        <v>817</v>
      </c>
      <c r="Z188" t="s">
        <v>815</v>
      </c>
      <c r="AB188" t="s">
        <v>816</v>
      </c>
      <c r="AC188" t="s">
        <v>805</v>
      </c>
      <c r="AD188" t="str">
        <f>+Tabla1[[#This Row],[DESCRIPCIÓN DE MERCANCÍA 1]]</f>
        <v>05155325</v>
      </c>
      <c r="AE188" t="s">
        <v>815</v>
      </c>
      <c r="AG188">
        <v>359.13</v>
      </c>
      <c r="AH188">
        <v>4.1100000000000003</v>
      </c>
      <c r="AI188">
        <v>1.6</v>
      </c>
      <c r="AJ188">
        <v>364.84</v>
      </c>
      <c r="AK188">
        <v>21.89</v>
      </c>
      <c r="AL188">
        <v>61.88</v>
      </c>
      <c r="AM188">
        <v>7.73</v>
      </c>
      <c r="AN188">
        <v>12.25</v>
      </c>
      <c r="AO188">
        <v>13.49</v>
      </c>
      <c r="AP188">
        <v>12.25</v>
      </c>
      <c r="AQ188" t="s">
        <v>251</v>
      </c>
      <c r="AR188">
        <v>29.783000000000001</v>
      </c>
      <c r="AS188">
        <v>1</v>
      </c>
      <c r="AT188" t="s">
        <v>290</v>
      </c>
      <c r="AU188" t="s">
        <v>84</v>
      </c>
      <c r="AV188">
        <v>0</v>
      </c>
      <c r="AW188" t="s">
        <v>85</v>
      </c>
      <c r="AY188" t="s">
        <v>108</v>
      </c>
      <c r="AZ188" t="s">
        <v>806</v>
      </c>
      <c r="BA188" t="s">
        <v>807</v>
      </c>
      <c r="BB188" t="s">
        <v>90</v>
      </c>
      <c r="BC188">
        <v>2908</v>
      </c>
      <c r="BD188">
        <v>20241115</v>
      </c>
      <c r="BE188">
        <v>29.317</v>
      </c>
      <c r="BF188" t="s">
        <v>808</v>
      </c>
      <c r="BG188" t="s">
        <v>809</v>
      </c>
      <c r="BH188">
        <v>20241018</v>
      </c>
      <c r="BI188" t="s">
        <v>810</v>
      </c>
      <c r="BJ188" t="s">
        <v>226</v>
      </c>
    </row>
    <row r="189" spans="1:63" ht="12.75" x14ac:dyDescent="0.2">
      <c r="A189">
        <v>15</v>
      </c>
      <c r="B189">
        <v>11</v>
      </c>
      <c r="C189">
        <v>2024</v>
      </c>
      <c r="D189">
        <v>180175</v>
      </c>
      <c r="E189">
        <v>1</v>
      </c>
      <c r="F189" t="s">
        <v>65</v>
      </c>
      <c r="G189" t="s">
        <v>66</v>
      </c>
      <c r="H189">
        <v>20550731399</v>
      </c>
      <c r="I189" t="s">
        <v>67</v>
      </c>
      <c r="J189" t="s">
        <v>68</v>
      </c>
      <c r="K189" t="s">
        <v>69</v>
      </c>
      <c r="L189" t="s">
        <v>69</v>
      </c>
      <c r="M189" t="s">
        <v>70</v>
      </c>
      <c r="N189" t="s">
        <v>71</v>
      </c>
      <c r="O189" t="s">
        <v>71</v>
      </c>
      <c r="P189" t="s">
        <v>72</v>
      </c>
      <c r="Q189" t="s">
        <v>73</v>
      </c>
      <c r="R189" t="s">
        <v>98</v>
      </c>
      <c r="S189" t="s">
        <v>98</v>
      </c>
      <c r="T189" t="s">
        <v>818</v>
      </c>
      <c r="U189">
        <v>8483309000</v>
      </c>
      <c r="V189" t="s">
        <v>548</v>
      </c>
      <c r="W189" t="s">
        <v>819</v>
      </c>
      <c r="X189" t="s">
        <v>820</v>
      </c>
      <c r="Y189" t="s">
        <v>821</v>
      </c>
      <c r="Z189" t="s">
        <v>822</v>
      </c>
      <c r="AB189" t="s">
        <v>823</v>
      </c>
      <c r="AC189" t="s">
        <v>123</v>
      </c>
      <c r="AD189" t="str">
        <f>+Tabla1[[#This Row],[DESCRIPCIÓN DE MERCANCÍA 1]]</f>
        <v>D47 0140145087 ROTARY SUBASSEMBLY D47</v>
      </c>
      <c r="AE189" t="s">
        <v>822</v>
      </c>
      <c r="AG189">
        <v>537.02</v>
      </c>
      <c r="AH189">
        <v>19.440000000000001</v>
      </c>
      <c r="AI189">
        <v>5.37</v>
      </c>
      <c r="AJ189">
        <v>561.83000000000004</v>
      </c>
      <c r="AK189">
        <v>0</v>
      </c>
      <c r="AL189">
        <v>89.89</v>
      </c>
      <c r="AM189">
        <v>11.24</v>
      </c>
      <c r="AN189">
        <v>8.4499999999999993</v>
      </c>
      <c r="AO189">
        <v>9.18</v>
      </c>
      <c r="AP189">
        <v>4</v>
      </c>
      <c r="AQ189" t="s">
        <v>82</v>
      </c>
      <c r="AR189">
        <v>140.45699999999999</v>
      </c>
      <c r="AS189">
        <v>4</v>
      </c>
      <c r="AT189" t="s">
        <v>290</v>
      </c>
      <c r="AU189" t="s">
        <v>84</v>
      </c>
      <c r="AV189">
        <v>1</v>
      </c>
      <c r="AW189" t="s">
        <v>85</v>
      </c>
      <c r="AX189" t="s">
        <v>390</v>
      </c>
      <c r="AY189" t="s">
        <v>108</v>
      </c>
      <c r="BA189" t="s">
        <v>110</v>
      </c>
      <c r="BB189" t="s">
        <v>90</v>
      </c>
      <c r="BC189">
        <v>32182</v>
      </c>
      <c r="BD189">
        <v>20241123</v>
      </c>
      <c r="BE189">
        <v>134.255</v>
      </c>
      <c r="BG189" t="s">
        <v>824</v>
      </c>
      <c r="BH189">
        <v>20241114</v>
      </c>
      <c r="BJ189" t="s">
        <v>112</v>
      </c>
    </row>
    <row r="190" spans="1:63" ht="12.75" x14ac:dyDescent="0.2">
      <c r="A190">
        <v>15</v>
      </c>
      <c r="B190">
        <v>11</v>
      </c>
      <c r="C190">
        <v>2024</v>
      </c>
      <c r="D190">
        <v>180175</v>
      </c>
      <c r="E190">
        <v>3</v>
      </c>
      <c r="F190" t="s">
        <v>65</v>
      </c>
      <c r="G190" t="s">
        <v>66</v>
      </c>
      <c r="H190">
        <v>20550731399</v>
      </c>
      <c r="I190" t="s">
        <v>67</v>
      </c>
      <c r="J190" t="s">
        <v>68</v>
      </c>
      <c r="K190" t="s">
        <v>69</v>
      </c>
      <c r="L190" t="s">
        <v>69</v>
      </c>
      <c r="M190" t="s">
        <v>70</v>
      </c>
      <c r="N190" t="s">
        <v>71</v>
      </c>
      <c r="O190" t="s">
        <v>71</v>
      </c>
      <c r="P190" t="s">
        <v>72</v>
      </c>
      <c r="Q190" t="s">
        <v>73</v>
      </c>
      <c r="R190" t="s">
        <v>117</v>
      </c>
      <c r="S190" t="s">
        <v>98</v>
      </c>
      <c r="T190" t="s">
        <v>818</v>
      </c>
      <c r="U190">
        <v>8421399000</v>
      </c>
      <c r="V190" t="s">
        <v>373</v>
      </c>
      <c r="W190" t="s">
        <v>825</v>
      </c>
      <c r="X190" t="s">
        <v>826</v>
      </c>
      <c r="Y190">
        <v>7021010008</v>
      </c>
      <c r="Z190" t="s">
        <v>827</v>
      </c>
      <c r="AB190" t="s">
        <v>375</v>
      </c>
      <c r="AC190" t="s">
        <v>123</v>
      </c>
      <c r="AD190" t="str">
        <f>+Tabla1[[#This Row],[DESCRIPCIÓN DE MERCANCÍA 1]]</f>
        <v>370L222A</v>
      </c>
      <c r="AE190" t="s">
        <v>827</v>
      </c>
      <c r="AG190">
        <v>1499.11</v>
      </c>
      <c r="AH190">
        <v>54.26</v>
      </c>
      <c r="AI190">
        <v>14.99</v>
      </c>
      <c r="AJ190">
        <v>1568.36</v>
      </c>
      <c r="AK190">
        <v>0</v>
      </c>
      <c r="AL190">
        <v>250.94</v>
      </c>
      <c r="AM190">
        <v>31.37</v>
      </c>
      <c r="AN190">
        <v>23.6</v>
      </c>
      <c r="AO190">
        <v>25.62</v>
      </c>
      <c r="AP190">
        <v>22</v>
      </c>
      <c r="AQ190" t="s">
        <v>82</v>
      </c>
      <c r="AR190">
        <v>71.289000000000001</v>
      </c>
      <c r="AS190">
        <v>22</v>
      </c>
      <c r="AT190" t="s">
        <v>290</v>
      </c>
      <c r="AU190" t="s">
        <v>84</v>
      </c>
      <c r="AV190">
        <v>0</v>
      </c>
      <c r="AW190" t="s">
        <v>85</v>
      </c>
      <c r="AX190" t="s">
        <v>390</v>
      </c>
      <c r="AY190" t="s">
        <v>108</v>
      </c>
      <c r="BA190" t="s">
        <v>110</v>
      </c>
      <c r="BB190" t="s">
        <v>90</v>
      </c>
      <c r="BC190">
        <v>32182</v>
      </c>
      <c r="BD190">
        <v>20241123</v>
      </c>
      <c r="BE190">
        <v>68.141000000000005</v>
      </c>
      <c r="BG190" t="s">
        <v>824</v>
      </c>
      <c r="BH190">
        <v>20241114</v>
      </c>
      <c r="BJ190" t="s">
        <v>112</v>
      </c>
    </row>
    <row r="191" spans="1:63" ht="12.75" x14ac:dyDescent="0.2">
      <c r="A191">
        <v>15</v>
      </c>
      <c r="B191">
        <v>11</v>
      </c>
      <c r="C191">
        <v>2024</v>
      </c>
      <c r="D191">
        <v>180175</v>
      </c>
      <c r="E191">
        <v>2</v>
      </c>
      <c r="F191" t="s">
        <v>65</v>
      </c>
      <c r="G191" t="s">
        <v>66</v>
      </c>
      <c r="H191">
        <v>20550731399</v>
      </c>
      <c r="I191" t="s">
        <v>67</v>
      </c>
      <c r="J191" t="s">
        <v>68</v>
      </c>
      <c r="K191" t="s">
        <v>69</v>
      </c>
      <c r="L191" t="s">
        <v>69</v>
      </c>
      <c r="M191" t="s">
        <v>70</v>
      </c>
      <c r="N191" t="s">
        <v>71</v>
      </c>
      <c r="O191" t="s">
        <v>71</v>
      </c>
      <c r="P191" t="s">
        <v>72</v>
      </c>
      <c r="Q191" t="s">
        <v>73</v>
      </c>
      <c r="R191" t="s">
        <v>98</v>
      </c>
      <c r="S191" t="s">
        <v>98</v>
      </c>
      <c r="T191" t="s">
        <v>818</v>
      </c>
      <c r="U191">
        <v>8483309000</v>
      </c>
      <c r="V191" t="s">
        <v>548</v>
      </c>
      <c r="W191" t="s">
        <v>828</v>
      </c>
      <c r="X191" t="s">
        <v>829</v>
      </c>
      <c r="Y191" t="s">
        <v>830</v>
      </c>
      <c r="Z191" t="s">
        <v>822</v>
      </c>
      <c r="AB191" t="s">
        <v>823</v>
      </c>
      <c r="AC191" t="s">
        <v>123</v>
      </c>
      <c r="AD191" t="str">
        <f>+Tabla1[[#This Row],[DESCRIPCIÓN DE MERCANCÍA 1]]</f>
        <v>0140047183 PREM.DIS.D47 FL.SAE1X CONT.MECC</v>
      </c>
      <c r="AE191" t="s">
        <v>822</v>
      </c>
      <c r="AG191">
        <v>2410.88</v>
      </c>
      <c r="AH191">
        <v>87.25</v>
      </c>
      <c r="AI191">
        <v>24.11</v>
      </c>
      <c r="AJ191">
        <v>2522.2399999999998</v>
      </c>
      <c r="AK191">
        <v>0</v>
      </c>
      <c r="AL191">
        <v>403.56</v>
      </c>
      <c r="AM191">
        <v>50.45</v>
      </c>
      <c r="AN191">
        <v>37.950000000000003</v>
      </c>
      <c r="AO191">
        <v>41.2</v>
      </c>
      <c r="AP191">
        <v>10</v>
      </c>
      <c r="AQ191" t="s">
        <v>82</v>
      </c>
      <c r="AR191">
        <v>252.22399999999999</v>
      </c>
      <c r="AS191">
        <v>10</v>
      </c>
      <c r="AT191" t="s">
        <v>290</v>
      </c>
      <c r="AU191" t="s">
        <v>84</v>
      </c>
      <c r="AV191">
        <v>0</v>
      </c>
      <c r="AW191" t="s">
        <v>85</v>
      </c>
      <c r="AX191" t="s">
        <v>390</v>
      </c>
      <c r="AY191" t="s">
        <v>108</v>
      </c>
      <c r="BA191" t="s">
        <v>110</v>
      </c>
      <c r="BB191" t="s">
        <v>90</v>
      </c>
      <c r="BC191">
        <v>32182</v>
      </c>
      <c r="BD191">
        <v>20241123</v>
      </c>
      <c r="BE191">
        <v>241.08799999999999</v>
      </c>
      <c r="BG191" t="s">
        <v>824</v>
      </c>
      <c r="BH191">
        <v>20241114</v>
      </c>
      <c r="BJ191" t="s">
        <v>112</v>
      </c>
    </row>
    <row r="192" spans="1:63" ht="12.75" x14ac:dyDescent="0.2">
      <c r="A192">
        <v>6</v>
      </c>
      <c r="B192">
        <v>12</v>
      </c>
      <c r="C192">
        <v>2024</v>
      </c>
      <c r="D192">
        <v>192996</v>
      </c>
      <c r="E192">
        <v>3</v>
      </c>
      <c r="F192" t="s">
        <v>65</v>
      </c>
      <c r="G192" t="s">
        <v>66</v>
      </c>
      <c r="H192">
        <v>20550731399</v>
      </c>
      <c r="I192" t="s">
        <v>67</v>
      </c>
      <c r="J192" t="s">
        <v>68</v>
      </c>
      <c r="K192" t="s">
        <v>69</v>
      </c>
      <c r="L192" t="s">
        <v>69</v>
      </c>
      <c r="M192" t="s">
        <v>70</v>
      </c>
      <c r="N192" t="s">
        <v>71</v>
      </c>
      <c r="O192" t="s">
        <v>71</v>
      </c>
      <c r="P192" t="s">
        <v>72</v>
      </c>
      <c r="Q192" t="s">
        <v>73</v>
      </c>
      <c r="R192" t="s">
        <v>228</v>
      </c>
      <c r="S192" t="s">
        <v>74</v>
      </c>
      <c r="T192" t="s">
        <v>163</v>
      </c>
      <c r="U192">
        <v>4016930000</v>
      </c>
      <c r="V192" t="s">
        <v>76</v>
      </c>
      <c r="W192" t="s">
        <v>831</v>
      </c>
      <c r="X192" t="s">
        <v>79</v>
      </c>
      <c r="Y192" t="s">
        <v>147</v>
      </c>
      <c r="Z192" t="s">
        <v>832</v>
      </c>
      <c r="AA192" t="s">
        <v>833</v>
      </c>
      <c r="AB192" t="s">
        <v>79</v>
      </c>
      <c r="AC192" t="s">
        <v>792</v>
      </c>
      <c r="AD192" t="s">
        <v>833</v>
      </c>
      <c r="AE192" t="s">
        <v>833</v>
      </c>
      <c r="AG192">
        <v>1015.3</v>
      </c>
      <c r="AH192">
        <v>31.13</v>
      </c>
      <c r="AI192">
        <v>17.77</v>
      </c>
      <c r="AJ192">
        <v>1064.2</v>
      </c>
      <c r="AK192">
        <v>63.85</v>
      </c>
      <c r="AL192">
        <v>180.49</v>
      </c>
      <c r="AM192">
        <v>22.56</v>
      </c>
      <c r="AN192">
        <v>6.93</v>
      </c>
      <c r="AO192">
        <v>8.01</v>
      </c>
      <c r="AP192">
        <v>11</v>
      </c>
      <c r="AQ192" t="s">
        <v>82</v>
      </c>
      <c r="AR192">
        <v>96.745000000000005</v>
      </c>
      <c r="AS192">
        <v>11</v>
      </c>
      <c r="AT192" t="s">
        <v>107</v>
      </c>
      <c r="AU192" t="s">
        <v>84</v>
      </c>
      <c r="AV192">
        <v>0</v>
      </c>
      <c r="AW192" t="s">
        <v>85</v>
      </c>
      <c r="AX192" t="s">
        <v>235</v>
      </c>
      <c r="AY192" t="s">
        <v>87</v>
      </c>
      <c r="AZ192" t="s">
        <v>88</v>
      </c>
      <c r="BA192" t="s">
        <v>89</v>
      </c>
      <c r="BB192" t="s">
        <v>90</v>
      </c>
      <c r="BC192">
        <v>33486</v>
      </c>
      <c r="BD192">
        <v>20241204</v>
      </c>
      <c r="BE192">
        <v>92.3</v>
      </c>
      <c r="BG192">
        <v>1977858735</v>
      </c>
      <c r="BH192">
        <v>20241127</v>
      </c>
      <c r="BJ192" t="s">
        <v>89</v>
      </c>
      <c r="BK192" t="s">
        <v>91</v>
      </c>
    </row>
    <row r="193" spans="1:64" ht="12.75" x14ac:dyDescent="0.2">
      <c r="A193">
        <v>6</v>
      </c>
      <c r="B193">
        <v>12</v>
      </c>
      <c r="C193">
        <v>2024</v>
      </c>
      <c r="D193">
        <v>192996</v>
      </c>
      <c r="E193">
        <v>2</v>
      </c>
      <c r="F193" t="s">
        <v>65</v>
      </c>
      <c r="G193" t="s">
        <v>66</v>
      </c>
      <c r="H193">
        <v>20550731399</v>
      </c>
      <c r="I193" t="s">
        <v>67</v>
      </c>
      <c r="J193" t="s">
        <v>68</v>
      </c>
      <c r="K193" t="s">
        <v>69</v>
      </c>
      <c r="L193" t="s">
        <v>69</v>
      </c>
      <c r="M193" t="s">
        <v>70</v>
      </c>
      <c r="N193" t="s">
        <v>71</v>
      </c>
      <c r="O193" t="s">
        <v>71</v>
      </c>
      <c r="P193" t="s">
        <v>72</v>
      </c>
      <c r="Q193" t="s">
        <v>73</v>
      </c>
      <c r="R193" t="s">
        <v>228</v>
      </c>
      <c r="S193" t="s">
        <v>74</v>
      </c>
      <c r="T193" t="s">
        <v>163</v>
      </c>
      <c r="U193">
        <v>4016930000</v>
      </c>
      <c r="V193" t="s">
        <v>76</v>
      </c>
      <c r="W193" t="s">
        <v>834</v>
      </c>
      <c r="X193" t="s">
        <v>79</v>
      </c>
      <c r="Y193" t="s">
        <v>147</v>
      </c>
      <c r="Z193" t="s">
        <v>835</v>
      </c>
      <c r="AA193" t="s">
        <v>836</v>
      </c>
      <c r="AB193" t="s">
        <v>79</v>
      </c>
      <c r="AC193" t="s">
        <v>792</v>
      </c>
      <c r="AD193" t="s">
        <v>836</v>
      </c>
      <c r="AE193" t="s">
        <v>836</v>
      </c>
      <c r="AG193">
        <v>1565.09</v>
      </c>
      <c r="AH193">
        <v>47.98</v>
      </c>
      <c r="AI193">
        <v>27.39</v>
      </c>
      <c r="AJ193">
        <v>1640.46</v>
      </c>
      <c r="AK193">
        <v>98.43</v>
      </c>
      <c r="AL193">
        <v>278.22000000000003</v>
      </c>
      <c r="AM193">
        <v>34.78</v>
      </c>
      <c r="AN193">
        <v>10.69</v>
      </c>
      <c r="AO193">
        <v>12.35</v>
      </c>
      <c r="AP193">
        <v>40</v>
      </c>
      <c r="AQ193" t="s">
        <v>82</v>
      </c>
      <c r="AR193">
        <v>41.012</v>
      </c>
      <c r="AS193">
        <v>40</v>
      </c>
      <c r="AT193" t="s">
        <v>107</v>
      </c>
      <c r="AU193" t="s">
        <v>84</v>
      </c>
      <c r="AV193">
        <v>0</v>
      </c>
      <c r="AW193" t="s">
        <v>85</v>
      </c>
      <c r="AX193" t="s">
        <v>235</v>
      </c>
      <c r="AY193" t="s">
        <v>87</v>
      </c>
      <c r="AZ193" t="s">
        <v>88</v>
      </c>
      <c r="BA193" t="s">
        <v>89</v>
      </c>
      <c r="BB193" t="s">
        <v>90</v>
      </c>
      <c r="BC193">
        <v>33486</v>
      </c>
      <c r="BD193">
        <v>20241204</v>
      </c>
      <c r="BE193">
        <v>39.127000000000002</v>
      </c>
      <c r="BG193">
        <v>1977858735</v>
      </c>
      <c r="BH193">
        <v>20241127</v>
      </c>
      <c r="BJ193" t="s">
        <v>89</v>
      </c>
      <c r="BK193" t="s">
        <v>91</v>
      </c>
    </row>
    <row r="194" spans="1:64" ht="12.75" x14ac:dyDescent="0.2">
      <c r="A194">
        <v>6</v>
      </c>
      <c r="B194">
        <v>12</v>
      </c>
      <c r="C194">
        <v>2024</v>
      </c>
      <c r="D194">
        <v>192996</v>
      </c>
      <c r="E194">
        <v>1</v>
      </c>
      <c r="F194" t="s">
        <v>65</v>
      </c>
      <c r="G194" t="s">
        <v>66</v>
      </c>
      <c r="H194">
        <v>20550731399</v>
      </c>
      <c r="I194" t="s">
        <v>67</v>
      </c>
      <c r="J194" t="s">
        <v>68</v>
      </c>
      <c r="K194" t="s">
        <v>69</v>
      </c>
      <c r="L194" t="s">
        <v>69</v>
      </c>
      <c r="M194" t="s">
        <v>70</v>
      </c>
      <c r="N194" t="s">
        <v>71</v>
      </c>
      <c r="O194" t="s">
        <v>71</v>
      </c>
      <c r="P194" t="s">
        <v>72</v>
      </c>
      <c r="Q194" t="s">
        <v>73</v>
      </c>
      <c r="R194" t="s">
        <v>228</v>
      </c>
      <c r="S194" t="s">
        <v>74</v>
      </c>
      <c r="T194" t="s">
        <v>163</v>
      </c>
      <c r="U194">
        <v>4016930000</v>
      </c>
      <c r="V194" t="s">
        <v>76</v>
      </c>
      <c r="W194" t="s">
        <v>837</v>
      </c>
      <c r="X194" t="s">
        <v>79</v>
      </c>
      <c r="Y194" t="s">
        <v>147</v>
      </c>
      <c r="Z194" t="s">
        <v>832</v>
      </c>
      <c r="AA194" t="s">
        <v>794</v>
      </c>
      <c r="AB194" t="s">
        <v>79</v>
      </c>
      <c r="AC194" t="s">
        <v>792</v>
      </c>
      <c r="AD194" t="s">
        <v>1407</v>
      </c>
      <c r="AE194" t="s">
        <v>794</v>
      </c>
      <c r="AG194">
        <v>1404.57</v>
      </c>
      <c r="AH194">
        <v>43.06</v>
      </c>
      <c r="AI194">
        <v>24.58</v>
      </c>
      <c r="AJ194">
        <v>1472.21</v>
      </c>
      <c r="AK194">
        <v>88.33</v>
      </c>
      <c r="AL194">
        <v>249.69</v>
      </c>
      <c r="AM194">
        <v>31.21</v>
      </c>
      <c r="AN194">
        <v>9.59</v>
      </c>
      <c r="AO194">
        <v>11.08</v>
      </c>
      <c r="AP194">
        <v>50</v>
      </c>
      <c r="AQ194" t="s">
        <v>82</v>
      </c>
      <c r="AR194">
        <v>29.443999999999999</v>
      </c>
      <c r="AS194">
        <v>50</v>
      </c>
      <c r="AT194" t="s">
        <v>107</v>
      </c>
      <c r="AU194" t="s">
        <v>84</v>
      </c>
      <c r="AV194">
        <v>1</v>
      </c>
      <c r="AW194" t="s">
        <v>85</v>
      </c>
      <c r="AX194" t="s">
        <v>235</v>
      </c>
      <c r="AY194" t="s">
        <v>87</v>
      </c>
      <c r="AZ194" t="s">
        <v>88</v>
      </c>
      <c r="BA194" t="s">
        <v>89</v>
      </c>
      <c r="BB194" t="s">
        <v>90</v>
      </c>
      <c r="BC194">
        <v>33486</v>
      </c>
      <c r="BD194">
        <v>20241204</v>
      </c>
      <c r="BE194">
        <v>28.091000000000001</v>
      </c>
      <c r="BG194">
        <v>1977858735</v>
      </c>
      <c r="BH194">
        <v>20241127</v>
      </c>
      <c r="BJ194" t="s">
        <v>89</v>
      </c>
      <c r="BK194" t="s">
        <v>91</v>
      </c>
    </row>
    <row r="195" spans="1:64" ht="12.75" x14ac:dyDescent="0.2">
      <c r="A195">
        <v>6</v>
      </c>
      <c r="B195">
        <v>12</v>
      </c>
      <c r="C195">
        <v>2024</v>
      </c>
      <c r="D195">
        <v>192996</v>
      </c>
      <c r="E195">
        <v>5</v>
      </c>
      <c r="F195" t="s">
        <v>65</v>
      </c>
      <c r="G195" t="s">
        <v>66</v>
      </c>
      <c r="H195">
        <v>20550731399</v>
      </c>
      <c r="I195" t="s">
        <v>67</v>
      </c>
      <c r="J195" t="s">
        <v>68</v>
      </c>
      <c r="K195" t="s">
        <v>69</v>
      </c>
      <c r="L195" t="s">
        <v>69</v>
      </c>
      <c r="M195" t="s">
        <v>70</v>
      </c>
      <c r="N195" t="s">
        <v>71</v>
      </c>
      <c r="O195" t="s">
        <v>71</v>
      </c>
      <c r="P195" t="s">
        <v>72</v>
      </c>
      <c r="Q195" t="s">
        <v>73</v>
      </c>
      <c r="R195" t="s">
        <v>228</v>
      </c>
      <c r="S195" t="s">
        <v>74</v>
      </c>
      <c r="T195" t="s">
        <v>163</v>
      </c>
      <c r="U195">
        <v>8412390000</v>
      </c>
      <c r="V195" t="s">
        <v>838</v>
      </c>
      <c r="W195" t="s">
        <v>839</v>
      </c>
      <c r="X195" t="s">
        <v>167</v>
      </c>
      <c r="Y195" t="s">
        <v>147</v>
      </c>
      <c r="Z195" t="s">
        <v>840</v>
      </c>
      <c r="AA195" t="s">
        <v>841</v>
      </c>
      <c r="AB195" t="s">
        <v>167</v>
      </c>
      <c r="AC195" t="s">
        <v>792</v>
      </c>
      <c r="AD195" t="s">
        <v>842</v>
      </c>
      <c r="AE195" t="s">
        <v>841</v>
      </c>
      <c r="AG195">
        <v>1611.24</v>
      </c>
      <c r="AH195">
        <v>49.4</v>
      </c>
      <c r="AI195">
        <v>16.11</v>
      </c>
      <c r="AJ195">
        <v>1676.75</v>
      </c>
      <c r="AK195">
        <v>0</v>
      </c>
      <c r="AL195">
        <v>268.27999999999997</v>
      </c>
      <c r="AM195">
        <v>33.54</v>
      </c>
      <c r="AN195">
        <v>11</v>
      </c>
      <c r="AO195">
        <v>12.71</v>
      </c>
      <c r="AP195">
        <v>2</v>
      </c>
      <c r="AQ195" t="s">
        <v>82</v>
      </c>
      <c r="AR195">
        <v>838.375</v>
      </c>
      <c r="AS195">
        <v>2</v>
      </c>
      <c r="AT195" t="s">
        <v>107</v>
      </c>
      <c r="AU195" t="s">
        <v>84</v>
      </c>
      <c r="AV195">
        <v>0</v>
      </c>
      <c r="AW195" t="s">
        <v>85</v>
      </c>
      <c r="AX195" t="s">
        <v>235</v>
      </c>
      <c r="AY195" t="s">
        <v>87</v>
      </c>
      <c r="AZ195" t="s">
        <v>88</v>
      </c>
      <c r="BA195" t="s">
        <v>89</v>
      </c>
      <c r="BB195" t="s">
        <v>90</v>
      </c>
      <c r="BC195">
        <v>33486</v>
      </c>
      <c r="BD195">
        <v>20241204</v>
      </c>
      <c r="BE195">
        <v>805.62</v>
      </c>
      <c r="BG195">
        <v>1977858735</v>
      </c>
      <c r="BH195">
        <v>20241127</v>
      </c>
      <c r="BJ195" t="s">
        <v>89</v>
      </c>
      <c r="BK195" t="s">
        <v>91</v>
      </c>
    </row>
    <row r="196" spans="1:64" ht="12.75" x14ac:dyDescent="0.2">
      <c r="A196">
        <v>6</v>
      </c>
      <c r="B196">
        <v>12</v>
      </c>
      <c r="C196">
        <v>2024</v>
      </c>
      <c r="D196">
        <v>192996</v>
      </c>
      <c r="E196">
        <v>4</v>
      </c>
      <c r="F196" t="s">
        <v>65</v>
      </c>
      <c r="G196" t="s">
        <v>66</v>
      </c>
      <c r="H196">
        <v>20550731399</v>
      </c>
      <c r="I196" t="s">
        <v>67</v>
      </c>
      <c r="J196" t="s">
        <v>68</v>
      </c>
      <c r="K196" t="s">
        <v>69</v>
      </c>
      <c r="L196" t="s">
        <v>69</v>
      </c>
      <c r="M196" t="s">
        <v>70</v>
      </c>
      <c r="N196" t="s">
        <v>71</v>
      </c>
      <c r="O196" t="s">
        <v>71</v>
      </c>
      <c r="P196" t="s">
        <v>72</v>
      </c>
      <c r="Q196" t="s">
        <v>73</v>
      </c>
      <c r="R196" t="s">
        <v>228</v>
      </c>
      <c r="S196" t="s">
        <v>74</v>
      </c>
      <c r="T196" t="s">
        <v>163</v>
      </c>
      <c r="U196">
        <v>8412900000</v>
      </c>
      <c r="V196" t="s">
        <v>129</v>
      </c>
      <c r="W196" t="s">
        <v>843</v>
      </c>
      <c r="X196" t="s">
        <v>844</v>
      </c>
      <c r="Y196" t="s">
        <v>147</v>
      </c>
      <c r="Z196" t="s">
        <v>845</v>
      </c>
      <c r="AA196" t="s">
        <v>846</v>
      </c>
      <c r="AB196" t="s">
        <v>371</v>
      </c>
      <c r="AC196" t="s">
        <v>792</v>
      </c>
      <c r="AD196">
        <v>923109</v>
      </c>
      <c r="AE196" t="s">
        <v>846</v>
      </c>
      <c r="AG196">
        <v>554.79999999999995</v>
      </c>
      <c r="AH196">
        <v>17.010000000000002</v>
      </c>
      <c r="AI196">
        <v>5.55</v>
      </c>
      <c r="AJ196">
        <v>577.36</v>
      </c>
      <c r="AK196">
        <v>0</v>
      </c>
      <c r="AL196">
        <v>92.38</v>
      </c>
      <c r="AM196">
        <v>11.55</v>
      </c>
      <c r="AN196">
        <v>3.79</v>
      </c>
      <c r="AO196">
        <v>4.38</v>
      </c>
      <c r="AP196">
        <v>1</v>
      </c>
      <c r="AQ196" t="s">
        <v>82</v>
      </c>
      <c r="AR196">
        <v>577.35699999999997</v>
      </c>
      <c r="AS196">
        <v>1</v>
      </c>
      <c r="AT196" t="s">
        <v>107</v>
      </c>
      <c r="AU196" t="s">
        <v>84</v>
      </c>
      <c r="AV196">
        <v>0</v>
      </c>
      <c r="AW196" t="s">
        <v>85</v>
      </c>
      <c r="AX196" t="s">
        <v>235</v>
      </c>
      <c r="AY196" t="s">
        <v>87</v>
      </c>
      <c r="AZ196" t="s">
        <v>88</v>
      </c>
      <c r="BA196" t="s">
        <v>89</v>
      </c>
      <c r="BB196" t="s">
        <v>90</v>
      </c>
      <c r="BC196">
        <v>33486</v>
      </c>
      <c r="BD196">
        <v>20241204</v>
      </c>
      <c r="BE196">
        <v>554.79999999999995</v>
      </c>
      <c r="BG196">
        <v>1977858735</v>
      </c>
      <c r="BH196">
        <v>20241127</v>
      </c>
      <c r="BJ196" t="s">
        <v>89</v>
      </c>
      <c r="BK196" t="s">
        <v>91</v>
      </c>
    </row>
    <row r="197" spans="1:64" ht="12.75" x14ac:dyDescent="0.2">
      <c r="A197">
        <v>19</v>
      </c>
      <c r="B197">
        <v>12</v>
      </c>
      <c r="C197">
        <v>2024</v>
      </c>
      <c r="D197">
        <v>200962</v>
      </c>
      <c r="E197">
        <v>1</v>
      </c>
      <c r="F197" t="s">
        <v>65</v>
      </c>
      <c r="G197" t="s">
        <v>66</v>
      </c>
      <c r="H197">
        <v>20550731399</v>
      </c>
      <c r="I197" t="s">
        <v>67</v>
      </c>
      <c r="J197" t="s">
        <v>68</v>
      </c>
      <c r="K197" t="s">
        <v>69</v>
      </c>
      <c r="L197" t="s">
        <v>69</v>
      </c>
      <c r="M197" t="s">
        <v>70</v>
      </c>
      <c r="N197" t="s">
        <v>71</v>
      </c>
      <c r="O197" t="s">
        <v>71</v>
      </c>
      <c r="P197" t="s">
        <v>72</v>
      </c>
      <c r="Q197" t="s">
        <v>162</v>
      </c>
      <c r="R197" t="s">
        <v>74</v>
      </c>
      <c r="S197" t="s">
        <v>74</v>
      </c>
      <c r="T197" t="s">
        <v>163</v>
      </c>
      <c r="U197">
        <v>8483500000</v>
      </c>
      <c r="V197" t="s">
        <v>328</v>
      </c>
      <c r="W197" t="s">
        <v>483</v>
      </c>
      <c r="X197" t="s">
        <v>484</v>
      </c>
      <c r="Y197" t="s">
        <v>485</v>
      </c>
      <c r="Z197" t="s">
        <v>847</v>
      </c>
      <c r="AA197" t="s">
        <v>486</v>
      </c>
      <c r="AB197" t="s">
        <v>268</v>
      </c>
      <c r="AC197" t="s">
        <v>214</v>
      </c>
      <c r="AD197">
        <v>3115</v>
      </c>
      <c r="AE197" t="s">
        <v>847</v>
      </c>
      <c r="AG197">
        <v>22164.77</v>
      </c>
      <c r="AH197">
        <v>1445</v>
      </c>
      <c r="AI197">
        <v>221.65</v>
      </c>
      <c r="AJ197">
        <v>23831.42</v>
      </c>
      <c r="AK197">
        <v>0</v>
      </c>
      <c r="AL197">
        <v>2840.33</v>
      </c>
      <c r="AM197">
        <v>355.04</v>
      </c>
      <c r="AN197">
        <v>366.91</v>
      </c>
      <c r="AO197">
        <v>386.22</v>
      </c>
      <c r="AP197">
        <v>1</v>
      </c>
      <c r="AQ197" t="s">
        <v>82</v>
      </c>
      <c r="AR197">
        <v>23831.418000000001</v>
      </c>
      <c r="AS197">
        <v>1</v>
      </c>
      <c r="AT197" t="s">
        <v>107</v>
      </c>
      <c r="AU197" t="s">
        <v>84</v>
      </c>
      <c r="AV197">
        <v>2</v>
      </c>
      <c r="AW197" t="s">
        <v>85</v>
      </c>
      <c r="AX197" t="s">
        <v>215</v>
      </c>
      <c r="AY197" t="s">
        <v>108</v>
      </c>
      <c r="AZ197" t="s">
        <v>169</v>
      </c>
      <c r="BA197" t="s">
        <v>170</v>
      </c>
      <c r="BB197" t="s">
        <v>90</v>
      </c>
      <c r="BC197">
        <v>33514</v>
      </c>
      <c r="BD197">
        <v>20241222</v>
      </c>
      <c r="BE197">
        <v>22164.77</v>
      </c>
      <c r="BG197">
        <v>424201322</v>
      </c>
      <c r="BH197">
        <v>20241216</v>
      </c>
      <c r="BJ197" t="s">
        <v>112</v>
      </c>
      <c r="BK197" t="s">
        <v>171</v>
      </c>
    </row>
    <row r="198" spans="1:64" ht="12.75" x14ac:dyDescent="0.2">
      <c r="A198">
        <v>19</v>
      </c>
      <c r="B198">
        <v>12</v>
      </c>
      <c r="C198">
        <v>2024</v>
      </c>
      <c r="D198">
        <v>200962</v>
      </c>
      <c r="E198">
        <v>2</v>
      </c>
      <c r="F198" t="s">
        <v>65</v>
      </c>
      <c r="G198" t="s">
        <v>66</v>
      </c>
      <c r="H198">
        <v>20550731399</v>
      </c>
      <c r="I198" t="s">
        <v>67</v>
      </c>
      <c r="J198" t="s">
        <v>68</v>
      </c>
      <c r="K198" t="s">
        <v>69</v>
      </c>
      <c r="L198" t="s">
        <v>69</v>
      </c>
      <c r="M198" t="s">
        <v>70</v>
      </c>
      <c r="N198" t="s">
        <v>71</v>
      </c>
      <c r="O198" t="s">
        <v>71</v>
      </c>
      <c r="P198" t="s">
        <v>72</v>
      </c>
      <c r="Q198" t="s">
        <v>162</v>
      </c>
      <c r="R198" t="s">
        <v>74</v>
      </c>
      <c r="S198" t="s">
        <v>74</v>
      </c>
      <c r="T198" t="s">
        <v>163</v>
      </c>
      <c r="U198">
        <v>8483500000</v>
      </c>
      <c r="V198" t="s">
        <v>328</v>
      </c>
      <c r="W198" t="s">
        <v>848</v>
      </c>
      <c r="X198" t="s">
        <v>849</v>
      </c>
      <c r="Y198" t="s">
        <v>850</v>
      </c>
      <c r="Z198" t="s">
        <v>851</v>
      </c>
      <c r="AB198" t="s">
        <v>851</v>
      </c>
      <c r="AC198" t="s">
        <v>214</v>
      </c>
      <c r="AD198" t="s">
        <v>852</v>
      </c>
      <c r="AE198" t="s">
        <v>851</v>
      </c>
      <c r="AG198">
        <v>20182.04</v>
      </c>
      <c r="AH198">
        <v>1806.25</v>
      </c>
      <c r="AI198">
        <v>201.82</v>
      </c>
      <c r="AJ198">
        <v>22190.11</v>
      </c>
      <c r="AK198">
        <v>0</v>
      </c>
      <c r="AL198">
        <v>3550.42</v>
      </c>
      <c r="AM198">
        <v>443.8</v>
      </c>
      <c r="AN198">
        <v>458.64</v>
      </c>
      <c r="AO198">
        <v>482.78</v>
      </c>
      <c r="AP198">
        <v>1</v>
      </c>
      <c r="AQ198" t="s">
        <v>82</v>
      </c>
      <c r="AR198">
        <v>22190.11</v>
      </c>
      <c r="AS198">
        <v>1</v>
      </c>
      <c r="AT198" t="s">
        <v>107</v>
      </c>
      <c r="AU198" t="s">
        <v>84</v>
      </c>
      <c r="AV198">
        <v>0</v>
      </c>
      <c r="AW198" t="s">
        <v>85</v>
      </c>
      <c r="AX198" t="s">
        <v>215</v>
      </c>
      <c r="AY198" t="s">
        <v>108</v>
      </c>
      <c r="AZ198" t="s">
        <v>169</v>
      </c>
      <c r="BA198" t="s">
        <v>170</v>
      </c>
      <c r="BB198" t="s">
        <v>90</v>
      </c>
      <c r="BC198">
        <v>33514</v>
      </c>
      <c r="BD198">
        <v>20241222</v>
      </c>
      <c r="BE198">
        <v>20182.04</v>
      </c>
      <c r="BG198">
        <v>424201322</v>
      </c>
      <c r="BH198">
        <v>20241216</v>
      </c>
      <c r="BJ198" t="s">
        <v>112</v>
      </c>
      <c r="BK198" t="s">
        <v>171</v>
      </c>
    </row>
    <row r="199" spans="1:64" ht="12.75" x14ac:dyDescent="0.2">
      <c r="A199">
        <v>26</v>
      </c>
      <c r="B199">
        <v>12</v>
      </c>
      <c r="C199">
        <v>2024</v>
      </c>
      <c r="D199">
        <v>204751</v>
      </c>
      <c r="E199">
        <v>1</v>
      </c>
      <c r="F199" t="s">
        <v>65</v>
      </c>
      <c r="G199" t="s">
        <v>66</v>
      </c>
      <c r="H199">
        <v>20550731399</v>
      </c>
      <c r="I199" t="s">
        <v>67</v>
      </c>
      <c r="J199" t="s">
        <v>68</v>
      </c>
      <c r="K199" t="s">
        <v>69</v>
      </c>
      <c r="L199" t="s">
        <v>69</v>
      </c>
      <c r="M199" t="s">
        <v>70</v>
      </c>
      <c r="N199" t="s">
        <v>71</v>
      </c>
      <c r="O199" t="s">
        <v>71</v>
      </c>
      <c r="P199" t="s">
        <v>72</v>
      </c>
      <c r="Q199" t="s">
        <v>73</v>
      </c>
      <c r="R199" t="s">
        <v>228</v>
      </c>
      <c r="S199" t="s">
        <v>74</v>
      </c>
      <c r="T199" t="s">
        <v>853</v>
      </c>
      <c r="U199">
        <v>8413500000</v>
      </c>
      <c r="V199" t="s">
        <v>854</v>
      </c>
      <c r="W199" t="s">
        <v>855</v>
      </c>
      <c r="X199" t="s">
        <v>176</v>
      </c>
      <c r="Y199" t="s">
        <v>856</v>
      </c>
      <c r="Z199" t="s">
        <v>107</v>
      </c>
      <c r="AA199" t="s">
        <v>857</v>
      </c>
      <c r="AB199" t="s">
        <v>176</v>
      </c>
      <c r="AC199" t="s">
        <v>177</v>
      </c>
      <c r="AD199" t="s">
        <v>858</v>
      </c>
      <c r="AE199" t="s">
        <v>857</v>
      </c>
      <c r="AG199">
        <v>4588</v>
      </c>
      <c r="AH199">
        <v>188.58</v>
      </c>
      <c r="AI199">
        <v>45.88</v>
      </c>
      <c r="AJ199">
        <v>4822.46</v>
      </c>
      <c r="AK199">
        <v>0</v>
      </c>
      <c r="AL199">
        <v>771.59</v>
      </c>
      <c r="AM199">
        <v>96.45</v>
      </c>
      <c r="AN199">
        <v>128.31</v>
      </c>
      <c r="AO199">
        <v>134.72</v>
      </c>
      <c r="AP199">
        <v>2</v>
      </c>
      <c r="AQ199" t="s">
        <v>82</v>
      </c>
      <c r="AR199">
        <v>2411.23</v>
      </c>
      <c r="AS199">
        <v>2</v>
      </c>
      <c r="AT199" t="s">
        <v>107</v>
      </c>
      <c r="AU199" t="s">
        <v>84</v>
      </c>
      <c r="AV199">
        <v>1</v>
      </c>
      <c r="AW199" t="s">
        <v>85</v>
      </c>
      <c r="AY199" t="s">
        <v>87</v>
      </c>
      <c r="AZ199" t="s">
        <v>88</v>
      </c>
      <c r="BA199" t="s">
        <v>89</v>
      </c>
      <c r="BB199" t="s">
        <v>90</v>
      </c>
      <c r="BC199">
        <v>33500</v>
      </c>
      <c r="BD199">
        <v>20241225</v>
      </c>
      <c r="BE199">
        <v>2294</v>
      </c>
      <c r="BG199">
        <v>6120260322</v>
      </c>
      <c r="BH199">
        <v>20241218</v>
      </c>
      <c r="BJ199" t="s">
        <v>89</v>
      </c>
      <c r="BK199" t="s">
        <v>171</v>
      </c>
    </row>
    <row r="200" spans="1:64" ht="12.75" x14ac:dyDescent="0.2">
      <c r="A200">
        <v>27</v>
      </c>
      <c r="B200">
        <v>12</v>
      </c>
      <c r="C200">
        <v>2024</v>
      </c>
      <c r="D200">
        <v>205619</v>
      </c>
      <c r="E200">
        <v>1</v>
      </c>
      <c r="F200" t="s">
        <v>65</v>
      </c>
      <c r="G200" t="s">
        <v>66</v>
      </c>
      <c r="H200">
        <v>20550731399</v>
      </c>
      <c r="I200" t="s">
        <v>67</v>
      </c>
      <c r="J200" t="s">
        <v>68</v>
      </c>
      <c r="K200" t="s">
        <v>69</v>
      </c>
      <c r="L200" t="s">
        <v>69</v>
      </c>
      <c r="M200" t="s">
        <v>70</v>
      </c>
      <c r="N200" t="s">
        <v>71</v>
      </c>
      <c r="O200" t="s">
        <v>71</v>
      </c>
      <c r="P200" t="s">
        <v>72</v>
      </c>
      <c r="Q200" t="s">
        <v>73</v>
      </c>
      <c r="R200" t="s">
        <v>74</v>
      </c>
      <c r="S200" t="s">
        <v>74</v>
      </c>
      <c r="T200" t="s">
        <v>163</v>
      </c>
      <c r="U200">
        <v>8412290000</v>
      </c>
      <c r="V200" t="s">
        <v>164</v>
      </c>
      <c r="W200" t="s">
        <v>859</v>
      </c>
      <c r="X200" t="s">
        <v>860</v>
      </c>
      <c r="Y200" t="s">
        <v>861</v>
      </c>
      <c r="Z200" t="s">
        <v>862</v>
      </c>
      <c r="AB200" t="s">
        <v>862</v>
      </c>
      <c r="AC200" t="s">
        <v>863</v>
      </c>
      <c r="AD200" t="s">
        <v>864</v>
      </c>
      <c r="AE200" t="s">
        <v>862</v>
      </c>
      <c r="AG200">
        <v>40469.82</v>
      </c>
      <c r="AH200">
        <v>1725</v>
      </c>
      <c r="AI200">
        <v>404.7</v>
      </c>
      <c r="AJ200">
        <v>42599.519999999997</v>
      </c>
      <c r="AK200">
        <v>0</v>
      </c>
      <c r="AL200">
        <v>6815.92</v>
      </c>
      <c r="AM200">
        <v>851.99</v>
      </c>
      <c r="AN200">
        <v>437</v>
      </c>
      <c r="AO200">
        <v>461.2</v>
      </c>
      <c r="AP200">
        <v>1</v>
      </c>
      <c r="AQ200" t="s">
        <v>82</v>
      </c>
      <c r="AR200">
        <v>42599.517999999996</v>
      </c>
      <c r="AS200">
        <v>1</v>
      </c>
      <c r="AT200" t="s">
        <v>290</v>
      </c>
      <c r="AU200" t="s">
        <v>84</v>
      </c>
      <c r="AV200">
        <v>1</v>
      </c>
      <c r="AW200" t="s">
        <v>85</v>
      </c>
      <c r="AX200" t="s">
        <v>865</v>
      </c>
      <c r="AY200" t="s">
        <v>108</v>
      </c>
      <c r="AZ200" t="s">
        <v>169</v>
      </c>
      <c r="BA200" t="s">
        <v>170</v>
      </c>
      <c r="BB200" t="s">
        <v>90</v>
      </c>
      <c r="BC200">
        <v>33516</v>
      </c>
      <c r="BD200">
        <v>20241228</v>
      </c>
      <c r="BE200">
        <v>40469.82</v>
      </c>
      <c r="BG200">
        <v>424201348</v>
      </c>
      <c r="BH200">
        <v>20241226</v>
      </c>
      <c r="BJ200" t="s">
        <v>112</v>
      </c>
    </row>
    <row r="201" spans="1:64" x14ac:dyDescent="0.2">
      <c r="A201">
        <v>14</v>
      </c>
      <c r="B201">
        <v>1</v>
      </c>
      <c r="C201">
        <v>2025</v>
      </c>
      <c r="D201" t="s">
        <v>1384</v>
      </c>
      <c r="E201">
        <v>1</v>
      </c>
      <c r="F201" t="s">
        <v>65</v>
      </c>
      <c r="G201" t="s">
        <v>66</v>
      </c>
      <c r="H201">
        <v>20550731399</v>
      </c>
      <c r="I201" t="s">
        <v>67</v>
      </c>
      <c r="J201" t="s">
        <v>68</v>
      </c>
      <c r="K201" t="s">
        <v>69</v>
      </c>
      <c r="L201" t="s">
        <v>69</v>
      </c>
      <c r="M201" t="s">
        <v>70</v>
      </c>
      <c r="N201" t="s">
        <v>71</v>
      </c>
      <c r="O201" t="s">
        <v>71</v>
      </c>
      <c r="P201" t="s">
        <v>72</v>
      </c>
      <c r="Q201" t="s">
        <v>73</v>
      </c>
      <c r="R201" t="s">
        <v>117</v>
      </c>
      <c r="S201" t="s">
        <v>74</v>
      </c>
      <c r="T201" t="s">
        <v>406</v>
      </c>
      <c r="U201">
        <v>8483500000</v>
      </c>
      <c r="V201" t="s">
        <v>328</v>
      </c>
      <c r="W201" t="s">
        <v>1383</v>
      </c>
      <c r="X201" t="s">
        <v>1382</v>
      </c>
      <c r="Y201" t="s">
        <v>1381</v>
      </c>
      <c r="Z201" t="s">
        <v>1379</v>
      </c>
      <c r="AA201" t="s">
        <v>1380</v>
      </c>
      <c r="AB201" t="s">
        <v>1379</v>
      </c>
      <c r="AC201" t="s">
        <v>214</v>
      </c>
      <c r="AD201" t="s">
        <v>1409</v>
      </c>
      <c r="AE201" t="s">
        <v>1379</v>
      </c>
      <c r="AG201">
        <v>7102.1</v>
      </c>
      <c r="AH201">
        <v>255.04</v>
      </c>
      <c r="AI201">
        <v>71.02</v>
      </c>
      <c r="AJ201">
        <v>7428.17</v>
      </c>
      <c r="AK201">
        <v>0</v>
      </c>
      <c r="AL201">
        <v>1188.51</v>
      </c>
      <c r="AM201">
        <v>148.56</v>
      </c>
      <c r="AN201">
        <v>6.93</v>
      </c>
      <c r="AO201">
        <v>7</v>
      </c>
      <c r="AP201">
        <v>1</v>
      </c>
      <c r="AQ201" t="s">
        <v>82</v>
      </c>
      <c r="AR201">
        <v>7428.1660000000002</v>
      </c>
      <c r="AS201">
        <v>1</v>
      </c>
      <c r="AT201" t="s">
        <v>107</v>
      </c>
      <c r="AU201" t="s">
        <v>84</v>
      </c>
      <c r="AV201">
        <v>1</v>
      </c>
      <c r="AW201" t="s">
        <v>85</v>
      </c>
      <c r="AX201" t="s">
        <v>215</v>
      </c>
      <c r="AY201" t="s">
        <v>108</v>
      </c>
      <c r="AZ201" t="s">
        <v>1378</v>
      </c>
      <c r="BA201" t="s">
        <v>170</v>
      </c>
      <c r="BB201" t="s">
        <v>90</v>
      </c>
      <c r="BC201">
        <v>67</v>
      </c>
      <c r="BD201">
        <v>20250115</v>
      </c>
      <c r="BE201">
        <v>7102.1</v>
      </c>
      <c r="BF201" t="s">
        <v>1377</v>
      </c>
      <c r="BG201" t="s">
        <v>1376</v>
      </c>
      <c r="BH201">
        <v>20250109</v>
      </c>
      <c r="BJ201" t="s">
        <v>112</v>
      </c>
      <c r="BK201" t="s">
        <v>171</v>
      </c>
      <c r="BL201" t="s">
        <v>886</v>
      </c>
    </row>
    <row r="202" spans="1:64" x14ac:dyDescent="0.2">
      <c r="A202">
        <v>16</v>
      </c>
      <c r="B202">
        <v>1</v>
      </c>
      <c r="C202">
        <v>2025</v>
      </c>
      <c r="D202" t="s">
        <v>1363</v>
      </c>
      <c r="E202">
        <v>2</v>
      </c>
      <c r="F202" t="s">
        <v>65</v>
      </c>
      <c r="G202" t="s">
        <v>66</v>
      </c>
      <c r="H202">
        <v>20550731399</v>
      </c>
      <c r="I202" t="s">
        <v>67</v>
      </c>
      <c r="J202" t="s">
        <v>68</v>
      </c>
      <c r="K202" t="s">
        <v>69</v>
      </c>
      <c r="L202" t="s">
        <v>69</v>
      </c>
      <c r="M202" t="s">
        <v>70</v>
      </c>
      <c r="N202" t="s">
        <v>71</v>
      </c>
      <c r="O202" t="s">
        <v>71</v>
      </c>
      <c r="P202" t="s">
        <v>72</v>
      </c>
      <c r="Q202" t="s">
        <v>73</v>
      </c>
      <c r="R202" t="s">
        <v>228</v>
      </c>
      <c r="S202" t="s">
        <v>74</v>
      </c>
      <c r="T202" t="s">
        <v>75</v>
      </c>
      <c r="U202">
        <v>8413919000</v>
      </c>
      <c r="V202" t="s">
        <v>229</v>
      </c>
      <c r="W202" t="s">
        <v>1375</v>
      </c>
      <c r="X202" t="s">
        <v>1374</v>
      </c>
      <c r="Y202" t="s">
        <v>1365</v>
      </c>
      <c r="Z202">
        <v>923954</v>
      </c>
      <c r="AA202" t="s">
        <v>107</v>
      </c>
      <c r="AB202" t="s">
        <v>1373</v>
      </c>
      <c r="AC202" t="s">
        <v>177</v>
      </c>
      <c r="AD202">
        <v>923954</v>
      </c>
      <c r="AE202" t="s">
        <v>107</v>
      </c>
      <c r="AG202">
        <v>964.48</v>
      </c>
      <c r="AH202">
        <v>40.07</v>
      </c>
      <c r="AI202">
        <v>9.64</v>
      </c>
      <c r="AJ202">
        <v>1014.2</v>
      </c>
      <c r="AK202">
        <v>0</v>
      </c>
      <c r="AL202">
        <v>162.27000000000001</v>
      </c>
      <c r="AM202">
        <v>20.28</v>
      </c>
      <c r="AN202">
        <v>15.74</v>
      </c>
      <c r="AO202">
        <v>17.25</v>
      </c>
      <c r="AP202">
        <v>15</v>
      </c>
      <c r="AQ202" t="s">
        <v>82</v>
      </c>
      <c r="AR202">
        <v>67.613</v>
      </c>
      <c r="AS202">
        <v>15</v>
      </c>
      <c r="AT202" t="s">
        <v>107</v>
      </c>
      <c r="AU202" t="s">
        <v>84</v>
      </c>
      <c r="AV202">
        <v>0</v>
      </c>
      <c r="AW202" t="s">
        <v>85</v>
      </c>
      <c r="AX202" t="s">
        <v>1245</v>
      </c>
      <c r="AY202" t="s">
        <v>87</v>
      </c>
      <c r="AZ202" t="s">
        <v>88</v>
      </c>
      <c r="BA202" t="s">
        <v>89</v>
      </c>
      <c r="BC202">
        <v>28</v>
      </c>
      <c r="BD202">
        <v>20250117</v>
      </c>
      <c r="BE202">
        <v>64.299000000000007</v>
      </c>
      <c r="BG202">
        <v>3096541792</v>
      </c>
      <c r="BH202">
        <v>20250114</v>
      </c>
      <c r="BJ202" t="s">
        <v>89</v>
      </c>
      <c r="BK202" t="s">
        <v>171</v>
      </c>
      <c r="BL202" t="s">
        <v>886</v>
      </c>
    </row>
    <row r="203" spans="1:64" x14ac:dyDescent="0.2">
      <c r="A203">
        <v>16</v>
      </c>
      <c r="B203">
        <v>1</v>
      </c>
      <c r="C203">
        <v>2025</v>
      </c>
      <c r="D203" t="s">
        <v>1363</v>
      </c>
      <c r="E203">
        <v>4</v>
      </c>
      <c r="F203" t="s">
        <v>65</v>
      </c>
      <c r="G203" t="s">
        <v>66</v>
      </c>
      <c r="H203">
        <v>20550731399</v>
      </c>
      <c r="I203" t="s">
        <v>67</v>
      </c>
      <c r="J203" t="s">
        <v>68</v>
      </c>
      <c r="K203" t="s">
        <v>69</v>
      </c>
      <c r="L203" t="s">
        <v>69</v>
      </c>
      <c r="M203" t="s">
        <v>70</v>
      </c>
      <c r="N203" t="s">
        <v>71</v>
      </c>
      <c r="O203" t="s">
        <v>71</v>
      </c>
      <c r="P203" t="s">
        <v>72</v>
      </c>
      <c r="Q203" t="s">
        <v>73</v>
      </c>
      <c r="R203" t="s">
        <v>228</v>
      </c>
      <c r="S203" t="s">
        <v>74</v>
      </c>
      <c r="T203" t="s">
        <v>75</v>
      </c>
      <c r="U203">
        <v>8413500000</v>
      </c>
      <c r="V203" t="s">
        <v>854</v>
      </c>
      <c r="W203" t="s">
        <v>1372</v>
      </c>
      <c r="X203" t="s">
        <v>176</v>
      </c>
      <c r="Y203" t="s">
        <v>1371</v>
      </c>
      <c r="Z203">
        <v>238535</v>
      </c>
      <c r="AA203" t="s">
        <v>107</v>
      </c>
      <c r="AB203" t="s">
        <v>176</v>
      </c>
      <c r="AC203" t="s">
        <v>177</v>
      </c>
      <c r="AD203">
        <v>238535</v>
      </c>
      <c r="AE203" t="s">
        <v>107</v>
      </c>
      <c r="AG203">
        <v>1915.65</v>
      </c>
      <c r="AH203">
        <v>79.59</v>
      </c>
      <c r="AI203">
        <v>19.16</v>
      </c>
      <c r="AJ203">
        <v>2014.39</v>
      </c>
      <c r="AK203">
        <v>0</v>
      </c>
      <c r="AL203">
        <v>322.3</v>
      </c>
      <c r="AM203">
        <v>40.29</v>
      </c>
      <c r="AN203">
        <v>31.26</v>
      </c>
      <c r="AO203">
        <v>34.26</v>
      </c>
      <c r="AP203">
        <v>1</v>
      </c>
      <c r="AQ203" t="s">
        <v>82</v>
      </c>
      <c r="AR203">
        <v>2014.3920000000001</v>
      </c>
      <c r="AS203">
        <v>1</v>
      </c>
      <c r="AT203" t="s">
        <v>107</v>
      </c>
      <c r="AU203" t="s">
        <v>84</v>
      </c>
      <c r="AV203">
        <v>0</v>
      </c>
      <c r="AW203" t="s">
        <v>85</v>
      </c>
      <c r="AX203" t="s">
        <v>1245</v>
      </c>
      <c r="AY203" t="s">
        <v>87</v>
      </c>
      <c r="AZ203" t="s">
        <v>88</v>
      </c>
      <c r="BA203" t="s">
        <v>89</v>
      </c>
      <c r="BC203">
        <v>28</v>
      </c>
      <c r="BD203">
        <v>20250117</v>
      </c>
      <c r="BE203">
        <v>1915.65</v>
      </c>
      <c r="BG203">
        <v>3096541792</v>
      </c>
      <c r="BH203">
        <v>20250114</v>
      </c>
      <c r="BJ203" t="s">
        <v>89</v>
      </c>
      <c r="BK203" t="s">
        <v>171</v>
      </c>
      <c r="BL203" t="s">
        <v>886</v>
      </c>
    </row>
    <row r="204" spans="1:64" x14ac:dyDescent="0.2">
      <c r="A204">
        <v>16</v>
      </c>
      <c r="B204">
        <v>1</v>
      </c>
      <c r="C204">
        <v>2025</v>
      </c>
      <c r="D204" t="s">
        <v>1363</v>
      </c>
      <c r="E204">
        <v>5</v>
      </c>
      <c r="F204" t="s">
        <v>65</v>
      </c>
      <c r="G204" t="s">
        <v>66</v>
      </c>
      <c r="H204">
        <v>20550731399</v>
      </c>
      <c r="I204" t="s">
        <v>67</v>
      </c>
      <c r="J204" t="s">
        <v>68</v>
      </c>
      <c r="K204" t="s">
        <v>69</v>
      </c>
      <c r="L204" t="s">
        <v>69</v>
      </c>
      <c r="M204" t="s">
        <v>70</v>
      </c>
      <c r="N204" t="s">
        <v>71</v>
      </c>
      <c r="O204" t="s">
        <v>71</v>
      </c>
      <c r="P204" t="s">
        <v>72</v>
      </c>
      <c r="Q204" t="s">
        <v>73</v>
      </c>
      <c r="R204" t="s">
        <v>228</v>
      </c>
      <c r="S204" t="s">
        <v>74</v>
      </c>
      <c r="T204" t="s">
        <v>75</v>
      </c>
      <c r="U204">
        <v>8413919000</v>
      </c>
      <c r="V204" t="s">
        <v>229</v>
      </c>
      <c r="W204" t="s">
        <v>1370</v>
      </c>
      <c r="X204" t="s">
        <v>1033</v>
      </c>
      <c r="Y204" t="s">
        <v>1369</v>
      </c>
      <c r="Z204" t="s">
        <v>1368</v>
      </c>
      <c r="AA204" t="s">
        <v>107</v>
      </c>
      <c r="AB204" t="s">
        <v>1033</v>
      </c>
      <c r="AC204" t="s">
        <v>177</v>
      </c>
      <c r="AD204" t="s">
        <v>1368</v>
      </c>
      <c r="AE204" t="s">
        <v>107</v>
      </c>
      <c r="AG204">
        <v>447.37</v>
      </c>
      <c r="AH204">
        <v>18.59</v>
      </c>
      <c r="AI204">
        <v>4.47</v>
      </c>
      <c r="AJ204">
        <v>470.43</v>
      </c>
      <c r="AK204">
        <v>0</v>
      </c>
      <c r="AL204">
        <v>75.27</v>
      </c>
      <c r="AM204">
        <v>9.41</v>
      </c>
      <c r="AN204">
        <v>7.3</v>
      </c>
      <c r="AO204">
        <v>8</v>
      </c>
      <c r="AP204">
        <v>1</v>
      </c>
      <c r="AQ204" t="s">
        <v>82</v>
      </c>
      <c r="AR204">
        <v>470.43</v>
      </c>
      <c r="AS204">
        <v>1</v>
      </c>
      <c r="AT204" t="s">
        <v>107</v>
      </c>
      <c r="AU204" t="s">
        <v>84</v>
      </c>
      <c r="AV204">
        <v>0</v>
      </c>
      <c r="AW204" t="s">
        <v>85</v>
      </c>
      <c r="AX204" t="s">
        <v>1245</v>
      </c>
      <c r="AY204" t="s">
        <v>87</v>
      </c>
      <c r="AZ204" t="s">
        <v>88</v>
      </c>
      <c r="BA204" t="s">
        <v>89</v>
      </c>
      <c r="BC204">
        <v>28</v>
      </c>
      <c r="BD204">
        <v>20250117</v>
      </c>
      <c r="BE204">
        <v>447.37</v>
      </c>
      <c r="BG204">
        <v>3096541792</v>
      </c>
      <c r="BH204">
        <v>20250114</v>
      </c>
      <c r="BJ204" t="s">
        <v>89</v>
      </c>
      <c r="BK204" t="s">
        <v>171</v>
      </c>
      <c r="BL204" t="s">
        <v>886</v>
      </c>
    </row>
    <row r="205" spans="1:64" x14ac:dyDescent="0.2">
      <c r="A205">
        <v>16</v>
      </c>
      <c r="B205">
        <v>1</v>
      </c>
      <c r="C205">
        <v>2025</v>
      </c>
      <c r="D205" t="s">
        <v>1363</v>
      </c>
      <c r="E205">
        <v>3</v>
      </c>
      <c r="F205" t="s">
        <v>65</v>
      </c>
      <c r="G205" t="s">
        <v>66</v>
      </c>
      <c r="H205">
        <v>20550731399</v>
      </c>
      <c r="I205" t="s">
        <v>67</v>
      </c>
      <c r="J205" t="s">
        <v>68</v>
      </c>
      <c r="K205" t="s">
        <v>69</v>
      </c>
      <c r="L205" t="s">
        <v>69</v>
      </c>
      <c r="M205" t="s">
        <v>70</v>
      </c>
      <c r="N205" t="s">
        <v>71</v>
      </c>
      <c r="O205" t="s">
        <v>71</v>
      </c>
      <c r="P205" t="s">
        <v>72</v>
      </c>
      <c r="Q205" t="s">
        <v>73</v>
      </c>
      <c r="R205" t="s">
        <v>228</v>
      </c>
      <c r="S205" t="s">
        <v>74</v>
      </c>
      <c r="T205" t="s">
        <v>75</v>
      </c>
      <c r="U205">
        <v>8413919000</v>
      </c>
      <c r="V205" t="s">
        <v>229</v>
      </c>
      <c r="W205" t="s">
        <v>1367</v>
      </c>
      <c r="X205" t="s">
        <v>1366</v>
      </c>
      <c r="Y205" t="s">
        <v>1365</v>
      </c>
      <c r="Z205">
        <v>923953</v>
      </c>
      <c r="AA205" t="s">
        <v>107</v>
      </c>
      <c r="AB205" t="s">
        <v>1364</v>
      </c>
      <c r="AC205" t="s">
        <v>177</v>
      </c>
      <c r="AD205">
        <v>923953</v>
      </c>
      <c r="AE205" t="s">
        <v>107</v>
      </c>
      <c r="AG205">
        <v>605.01</v>
      </c>
      <c r="AH205">
        <v>25.14</v>
      </c>
      <c r="AI205">
        <v>6.05</v>
      </c>
      <c r="AJ205">
        <v>636.20000000000005</v>
      </c>
      <c r="AK205">
        <v>0</v>
      </c>
      <c r="AL205">
        <v>101.79</v>
      </c>
      <c r="AM205">
        <v>12.72</v>
      </c>
      <c r="AN205">
        <v>9.8699999999999992</v>
      </c>
      <c r="AO205">
        <v>10.82</v>
      </c>
      <c r="AP205">
        <v>6</v>
      </c>
      <c r="AQ205" t="s">
        <v>82</v>
      </c>
      <c r="AR205">
        <v>106.033</v>
      </c>
      <c r="AS205">
        <v>6</v>
      </c>
      <c r="AT205" t="s">
        <v>107</v>
      </c>
      <c r="AU205" t="s">
        <v>84</v>
      </c>
      <c r="AV205">
        <v>0</v>
      </c>
      <c r="AW205" t="s">
        <v>85</v>
      </c>
      <c r="AX205" t="s">
        <v>1245</v>
      </c>
      <c r="AY205" t="s">
        <v>87</v>
      </c>
      <c r="AZ205" t="s">
        <v>88</v>
      </c>
      <c r="BA205" t="s">
        <v>89</v>
      </c>
      <c r="BC205">
        <v>28</v>
      </c>
      <c r="BD205">
        <v>20250117</v>
      </c>
      <c r="BE205">
        <v>100.83499999999999</v>
      </c>
      <c r="BG205">
        <v>3096541792</v>
      </c>
      <c r="BH205">
        <v>20250114</v>
      </c>
      <c r="BJ205" t="s">
        <v>89</v>
      </c>
      <c r="BK205" t="s">
        <v>171</v>
      </c>
      <c r="BL205" t="s">
        <v>886</v>
      </c>
    </row>
    <row r="206" spans="1:64" x14ac:dyDescent="0.2">
      <c r="A206">
        <v>16</v>
      </c>
      <c r="B206">
        <v>1</v>
      </c>
      <c r="C206">
        <v>2025</v>
      </c>
      <c r="D206" t="s">
        <v>1363</v>
      </c>
      <c r="E206">
        <v>1</v>
      </c>
      <c r="F206" t="s">
        <v>65</v>
      </c>
      <c r="G206" t="s">
        <v>66</v>
      </c>
      <c r="H206">
        <v>20550731399</v>
      </c>
      <c r="I206" t="s">
        <v>67</v>
      </c>
      <c r="J206" t="s">
        <v>68</v>
      </c>
      <c r="K206" t="s">
        <v>69</v>
      </c>
      <c r="L206" t="s">
        <v>69</v>
      </c>
      <c r="M206" t="s">
        <v>70</v>
      </c>
      <c r="N206" t="s">
        <v>71</v>
      </c>
      <c r="O206" t="s">
        <v>71</v>
      </c>
      <c r="P206" t="s">
        <v>72</v>
      </c>
      <c r="Q206" t="s">
        <v>73</v>
      </c>
      <c r="R206" t="s">
        <v>228</v>
      </c>
      <c r="S206" t="s">
        <v>74</v>
      </c>
      <c r="T206" t="s">
        <v>75</v>
      </c>
      <c r="U206">
        <v>8481400090</v>
      </c>
      <c r="V206" t="s">
        <v>334</v>
      </c>
      <c r="W206" t="s">
        <v>1362</v>
      </c>
      <c r="X206" t="s">
        <v>338</v>
      </c>
      <c r="Y206" t="s">
        <v>1361</v>
      </c>
      <c r="Z206" t="s">
        <v>1360</v>
      </c>
      <c r="AA206" t="s">
        <v>107</v>
      </c>
      <c r="AB206" t="s">
        <v>338</v>
      </c>
      <c r="AC206" t="s">
        <v>177</v>
      </c>
      <c r="AD206" t="s">
        <v>1360</v>
      </c>
      <c r="AE206" t="s">
        <v>107</v>
      </c>
      <c r="AG206">
        <v>969.83</v>
      </c>
      <c r="AH206">
        <v>40.29</v>
      </c>
      <c r="AI206">
        <v>9.6999999999999993</v>
      </c>
      <c r="AJ206">
        <v>1019.82</v>
      </c>
      <c r="AK206">
        <v>0</v>
      </c>
      <c r="AL206">
        <v>163.16999999999999</v>
      </c>
      <c r="AM206">
        <v>20.399999999999999</v>
      </c>
      <c r="AN206">
        <v>15.83</v>
      </c>
      <c r="AO206">
        <v>17.350000000000001</v>
      </c>
      <c r="AP206">
        <v>3</v>
      </c>
      <c r="AQ206" t="s">
        <v>82</v>
      </c>
      <c r="AR206">
        <v>339.94</v>
      </c>
      <c r="AS206">
        <v>3</v>
      </c>
      <c r="AT206" t="s">
        <v>107</v>
      </c>
      <c r="AU206" t="s">
        <v>84</v>
      </c>
      <c r="AV206">
        <v>3</v>
      </c>
      <c r="AW206" t="s">
        <v>85</v>
      </c>
      <c r="AX206" t="s">
        <v>1245</v>
      </c>
      <c r="AY206" t="s">
        <v>87</v>
      </c>
      <c r="AZ206" t="s">
        <v>88</v>
      </c>
      <c r="BA206" t="s">
        <v>89</v>
      </c>
      <c r="BC206">
        <v>28</v>
      </c>
      <c r="BD206">
        <v>20250117</v>
      </c>
      <c r="BE206">
        <v>323.27699999999999</v>
      </c>
      <c r="BG206">
        <v>3096541792</v>
      </c>
      <c r="BH206">
        <v>20250114</v>
      </c>
      <c r="BJ206" t="s">
        <v>89</v>
      </c>
      <c r="BK206" t="s">
        <v>171</v>
      </c>
      <c r="BL206" t="s">
        <v>886</v>
      </c>
    </row>
    <row r="207" spans="1:64" x14ac:dyDescent="0.2">
      <c r="A207">
        <v>24</v>
      </c>
      <c r="B207">
        <v>1</v>
      </c>
      <c r="C207">
        <v>2025</v>
      </c>
      <c r="D207" t="s">
        <v>1353</v>
      </c>
      <c r="E207">
        <v>2</v>
      </c>
      <c r="F207" t="s">
        <v>65</v>
      </c>
      <c r="G207" t="s">
        <v>66</v>
      </c>
      <c r="H207">
        <v>20550731399</v>
      </c>
      <c r="I207" t="s">
        <v>67</v>
      </c>
      <c r="J207" t="s">
        <v>68</v>
      </c>
      <c r="K207" t="s">
        <v>69</v>
      </c>
      <c r="L207" t="s">
        <v>69</v>
      </c>
      <c r="M207" t="s">
        <v>70</v>
      </c>
      <c r="N207" t="s">
        <v>71</v>
      </c>
      <c r="O207" t="s">
        <v>71</v>
      </c>
      <c r="P207" t="s">
        <v>72</v>
      </c>
      <c r="Q207" t="s">
        <v>73</v>
      </c>
      <c r="R207" t="s">
        <v>1352</v>
      </c>
      <c r="S207" t="s">
        <v>1352</v>
      </c>
      <c r="T207" t="s">
        <v>1351</v>
      </c>
      <c r="U207">
        <v>7326909000</v>
      </c>
      <c r="V207" t="s">
        <v>1350</v>
      </c>
      <c r="W207" t="s">
        <v>1359</v>
      </c>
      <c r="X207" t="s">
        <v>1347</v>
      </c>
      <c r="Y207" t="s">
        <v>1348</v>
      </c>
      <c r="Z207" t="s">
        <v>1358</v>
      </c>
      <c r="AA207" t="s">
        <v>1344</v>
      </c>
      <c r="AB207" t="s">
        <v>1347</v>
      </c>
      <c r="AC207" t="s">
        <v>1346</v>
      </c>
      <c r="AD207" t="s">
        <v>1358</v>
      </c>
      <c r="AE207" t="s">
        <v>1344</v>
      </c>
      <c r="AG207">
        <v>471.64</v>
      </c>
      <c r="AH207">
        <v>7.9</v>
      </c>
      <c r="AI207">
        <v>12.97</v>
      </c>
      <c r="AJ207">
        <v>492.51</v>
      </c>
      <c r="AK207">
        <v>0</v>
      </c>
      <c r="AL207">
        <v>78.8</v>
      </c>
      <c r="AM207">
        <v>9.85</v>
      </c>
      <c r="AN207">
        <v>0.55000000000000004</v>
      </c>
      <c r="AO207">
        <v>0.62</v>
      </c>
      <c r="AP207">
        <v>9</v>
      </c>
      <c r="AQ207" t="s">
        <v>82</v>
      </c>
      <c r="AR207">
        <v>54.723999999999997</v>
      </c>
      <c r="AS207">
        <v>9</v>
      </c>
      <c r="AT207" t="s">
        <v>107</v>
      </c>
      <c r="AU207" t="s">
        <v>84</v>
      </c>
      <c r="AV207">
        <v>0</v>
      </c>
      <c r="AW207" t="s">
        <v>85</v>
      </c>
      <c r="AX207" t="s">
        <v>1333</v>
      </c>
      <c r="AY207" t="s">
        <v>87</v>
      </c>
      <c r="AZ207" t="s">
        <v>88</v>
      </c>
      <c r="BA207" t="s">
        <v>89</v>
      </c>
      <c r="BB207" t="s">
        <v>90</v>
      </c>
      <c r="BC207">
        <v>34</v>
      </c>
      <c r="BD207">
        <v>20250127</v>
      </c>
      <c r="BE207">
        <v>52.404000000000003</v>
      </c>
      <c r="BG207">
        <v>6554770460</v>
      </c>
      <c r="BH207">
        <v>20250122</v>
      </c>
      <c r="BJ207" t="s">
        <v>89</v>
      </c>
      <c r="BL207" t="s">
        <v>886</v>
      </c>
    </row>
    <row r="208" spans="1:64" x14ac:dyDescent="0.2">
      <c r="A208">
        <v>24</v>
      </c>
      <c r="B208">
        <v>1</v>
      </c>
      <c r="C208">
        <v>2025</v>
      </c>
      <c r="D208" t="s">
        <v>1353</v>
      </c>
      <c r="E208">
        <v>3</v>
      </c>
      <c r="F208" t="s">
        <v>65</v>
      </c>
      <c r="G208" t="s">
        <v>66</v>
      </c>
      <c r="H208">
        <v>20550731399</v>
      </c>
      <c r="I208" t="s">
        <v>67</v>
      </c>
      <c r="J208" t="s">
        <v>68</v>
      </c>
      <c r="K208" t="s">
        <v>69</v>
      </c>
      <c r="L208" t="s">
        <v>69</v>
      </c>
      <c r="M208" t="s">
        <v>70</v>
      </c>
      <c r="N208" t="s">
        <v>71</v>
      </c>
      <c r="O208" t="s">
        <v>71</v>
      </c>
      <c r="P208" t="s">
        <v>72</v>
      </c>
      <c r="Q208" t="s">
        <v>73</v>
      </c>
      <c r="R208" t="s">
        <v>1352</v>
      </c>
      <c r="S208" t="s">
        <v>1352</v>
      </c>
      <c r="T208" t="s">
        <v>1351</v>
      </c>
      <c r="U208">
        <v>7326909000</v>
      </c>
      <c r="V208" t="s">
        <v>1350</v>
      </c>
      <c r="W208" t="s">
        <v>1357</v>
      </c>
      <c r="X208" t="s">
        <v>1347</v>
      </c>
      <c r="Y208" t="s">
        <v>1348</v>
      </c>
      <c r="Z208" t="s">
        <v>1356</v>
      </c>
      <c r="AA208" t="s">
        <v>1344</v>
      </c>
      <c r="AB208" t="s">
        <v>1347</v>
      </c>
      <c r="AC208" t="s">
        <v>1346</v>
      </c>
      <c r="AD208" t="s">
        <v>1356</v>
      </c>
      <c r="AE208" t="s">
        <v>1344</v>
      </c>
      <c r="AG208">
        <v>870.71</v>
      </c>
      <c r="AH208">
        <v>14.59</v>
      </c>
      <c r="AI208">
        <v>23.95</v>
      </c>
      <c r="AJ208">
        <v>909.24</v>
      </c>
      <c r="AK208">
        <v>0</v>
      </c>
      <c r="AL208">
        <v>145.47999999999999</v>
      </c>
      <c r="AM208">
        <v>18.190000000000001</v>
      </c>
      <c r="AN208">
        <v>1.01</v>
      </c>
      <c r="AO208">
        <v>1.1499999999999999</v>
      </c>
      <c r="AP208">
        <v>9</v>
      </c>
      <c r="AQ208" t="s">
        <v>82</v>
      </c>
      <c r="AR208">
        <v>101.027</v>
      </c>
      <c r="AS208">
        <v>9</v>
      </c>
      <c r="AT208" t="s">
        <v>107</v>
      </c>
      <c r="AU208" t="s">
        <v>84</v>
      </c>
      <c r="AV208">
        <v>0</v>
      </c>
      <c r="AW208" t="s">
        <v>85</v>
      </c>
      <c r="AX208" t="s">
        <v>1333</v>
      </c>
      <c r="AY208" t="s">
        <v>87</v>
      </c>
      <c r="AZ208" t="s">
        <v>88</v>
      </c>
      <c r="BA208" t="s">
        <v>89</v>
      </c>
      <c r="BB208" t="s">
        <v>90</v>
      </c>
      <c r="BC208">
        <v>34</v>
      </c>
      <c r="BD208">
        <v>20250127</v>
      </c>
      <c r="BE208">
        <v>96.745999999999995</v>
      </c>
      <c r="BG208">
        <v>6554770460</v>
      </c>
      <c r="BH208">
        <v>20250122</v>
      </c>
      <c r="BJ208" t="s">
        <v>89</v>
      </c>
      <c r="BL208" t="s">
        <v>886</v>
      </c>
    </row>
    <row r="209" spans="1:64" x14ac:dyDescent="0.2">
      <c r="A209">
        <v>24</v>
      </c>
      <c r="B209">
        <v>1</v>
      </c>
      <c r="C209">
        <v>2025</v>
      </c>
      <c r="D209" t="s">
        <v>1353</v>
      </c>
      <c r="E209">
        <v>4</v>
      </c>
      <c r="F209" t="s">
        <v>65</v>
      </c>
      <c r="G209" t="s">
        <v>66</v>
      </c>
      <c r="H209">
        <v>20550731399</v>
      </c>
      <c r="I209" t="s">
        <v>67</v>
      </c>
      <c r="J209" t="s">
        <v>68</v>
      </c>
      <c r="K209" t="s">
        <v>69</v>
      </c>
      <c r="L209" t="s">
        <v>69</v>
      </c>
      <c r="M209" t="s">
        <v>70</v>
      </c>
      <c r="N209" t="s">
        <v>71</v>
      </c>
      <c r="O209" t="s">
        <v>71</v>
      </c>
      <c r="P209" t="s">
        <v>72</v>
      </c>
      <c r="Q209" t="s">
        <v>73</v>
      </c>
      <c r="R209" t="s">
        <v>1352</v>
      </c>
      <c r="S209" t="s">
        <v>1352</v>
      </c>
      <c r="T209" t="s">
        <v>1351</v>
      </c>
      <c r="U209">
        <v>7326909000</v>
      </c>
      <c r="V209" t="s">
        <v>1350</v>
      </c>
      <c r="W209" t="s">
        <v>1355</v>
      </c>
      <c r="X209" t="s">
        <v>1347</v>
      </c>
      <c r="Y209" t="s">
        <v>1348</v>
      </c>
      <c r="Z209" t="s">
        <v>1354</v>
      </c>
      <c r="AA209" t="s">
        <v>1344</v>
      </c>
      <c r="AB209" t="s">
        <v>1347</v>
      </c>
      <c r="AC209" t="s">
        <v>1346</v>
      </c>
      <c r="AD209" t="s">
        <v>1354</v>
      </c>
      <c r="AE209" t="s">
        <v>1344</v>
      </c>
      <c r="AG209">
        <v>870.71</v>
      </c>
      <c r="AH209">
        <v>14.59</v>
      </c>
      <c r="AI209">
        <v>23.95</v>
      </c>
      <c r="AJ209">
        <v>909.24</v>
      </c>
      <c r="AK209">
        <v>0</v>
      </c>
      <c r="AL209">
        <v>145.47999999999999</v>
      </c>
      <c r="AM209">
        <v>18.190000000000001</v>
      </c>
      <c r="AN209">
        <v>1.01</v>
      </c>
      <c r="AO209">
        <v>1.1499999999999999</v>
      </c>
      <c r="AP209">
        <v>9</v>
      </c>
      <c r="AQ209" t="s">
        <v>82</v>
      </c>
      <c r="AR209">
        <v>101.027</v>
      </c>
      <c r="AS209">
        <v>9</v>
      </c>
      <c r="AT209" t="s">
        <v>107</v>
      </c>
      <c r="AU209" t="s">
        <v>84</v>
      </c>
      <c r="AV209">
        <v>0</v>
      </c>
      <c r="AW209" t="s">
        <v>85</v>
      </c>
      <c r="AX209" t="s">
        <v>1333</v>
      </c>
      <c r="AY209" t="s">
        <v>87</v>
      </c>
      <c r="AZ209" t="s">
        <v>88</v>
      </c>
      <c r="BA209" t="s">
        <v>89</v>
      </c>
      <c r="BB209" t="s">
        <v>90</v>
      </c>
      <c r="BC209">
        <v>34</v>
      </c>
      <c r="BD209">
        <v>20250127</v>
      </c>
      <c r="BE209">
        <v>96.745999999999995</v>
      </c>
      <c r="BG209">
        <v>6554770460</v>
      </c>
      <c r="BH209">
        <v>20250122</v>
      </c>
      <c r="BJ209" t="s">
        <v>89</v>
      </c>
      <c r="BL209" t="s">
        <v>886</v>
      </c>
    </row>
    <row r="210" spans="1:64" x14ac:dyDescent="0.2">
      <c r="A210">
        <v>24</v>
      </c>
      <c r="B210">
        <v>1</v>
      </c>
      <c r="C210">
        <v>2025</v>
      </c>
      <c r="D210" t="s">
        <v>1353</v>
      </c>
      <c r="E210">
        <v>1</v>
      </c>
      <c r="F210" t="s">
        <v>65</v>
      </c>
      <c r="G210" t="s">
        <v>66</v>
      </c>
      <c r="H210">
        <v>20550731399</v>
      </c>
      <c r="I210" t="s">
        <v>67</v>
      </c>
      <c r="J210" t="s">
        <v>68</v>
      </c>
      <c r="K210" t="s">
        <v>69</v>
      </c>
      <c r="L210" t="s">
        <v>69</v>
      </c>
      <c r="M210" t="s">
        <v>70</v>
      </c>
      <c r="N210" t="s">
        <v>71</v>
      </c>
      <c r="O210" t="s">
        <v>71</v>
      </c>
      <c r="P210" t="s">
        <v>72</v>
      </c>
      <c r="Q210" t="s">
        <v>73</v>
      </c>
      <c r="R210" t="s">
        <v>1352</v>
      </c>
      <c r="S210" t="s">
        <v>1352</v>
      </c>
      <c r="T210" t="s">
        <v>1351</v>
      </c>
      <c r="U210">
        <v>7326909000</v>
      </c>
      <c r="V210" t="s">
        <v>1350</v>
      </c>
      <c r="W210" t="s">
        <v>1349</v>
      </c>
      <c r="X210" t="s">
        <v>1347</v>
      </c>
      <c r="Y210" t="s">
        <v>1348</v>
      </c>
      <c r="Z210" t="s">
        <v>1345</v>
      </c>
      <c r="AA210" t="s">
        <v>1344</v>
      </c>
      <c r="AB210" t="s">
        <v>1347</v>
      </c>
      <c r="AC210" t="s">
        <v>1346</v>
      </c>
      <c r="AD210" t="s">
        <v>1345</v>
      </c>
      <c r="AE210" t="s">
        <v>1344</v>
      </c>
      <c r="AG210">
        <v>380.94</v>
      </c>
      <c r="AH210">
        <v>6.38</v>
      </c>
      <c r="AI210">
        <v>10.48</v>
      </c>
      <c r="AJ210">
        <v>397.8</v>
      </c>
      <c r="AK210">
        <v>0</v>
      </c>
      <c r="AL210">
        <v>63.65</v>
      </c>
      <c r="AM210">
        <v>7.96</v>
      </c>
      <c r="AN210">
        <v>0.44</v>
      </c>
      <c r="AO210">
        <v>0.5</v>
      </c>
      <c r="AP210">
        <v>9</v>
      </c>
      <c r="AQ210" t="s">
        <v>82</v>
      </c>
      <c r="AR210">
        <v>44.2</v>
      </c>
      <c r="AS210">
        <v>9</v>
      </c>
      <c r="AT210" t="s">
        <v>107</v>
      </c>
      <c r="AU210" t="s">
        <v>84</v>
      </c>
      <c r="AV210">
        <v>1</v>
      </c>
      <c r="AW210" t="s">
        <v>85</v>
      </c>
      <c r="AX210" t="s">
        <v>1333</v>
      </c>
      <c r="AY210" t="s">
        <v>87</v>
      </c>
      <c r="AZ210" t="s">
        <v>88</v>
      </c>
      <c r="BA210" t="s">
        <v>89</v>
      </c>
      <c r="BB210" t="s">
        <v>90</v>
      </c>
      <c r="BC210">
        <v>34</v>
      </c>
      <c r="BD210">
        <v>20250127</v>
      </c>
      <c r="BE210">
        <v>42.326999999999998</v>
      </c>
      <c r="BG210">
        <v>6554770460</v>
      </c>
      <c r="BH210">
        <v>20250122</v>
      </c>
      <c r="BJ210" t="s">
        <v>89</v>
      </c>
      <c r="BL210" t="s">
        <v>886</v>
      </c>
    </row>
    <row r="211" spans="1:64" x14ac:dyDescent="0.2">
      <c r="A211">
        <v>27</v>
      </c>
      <c r="B211">
        <v>1</v>
      </c>
      <c r="C211">
        <v>2025</v>
      </c>
      <c r="D211" t="s">
        <v>1337</v>
      </c>
      <c r="E211">
        <v>1</v>
      </c>
      <c r="F211" t="s">
        <v>65</v>
      </c>
      <c r="G211" t="s">
        <v>66</v>
      </c>
      <c r="H211">
        <v>20550731399</v>
      </c>
      <c r="I211" t="s">
        <v>67</v>
      </c>
      <c r="J211" t="s">
        <v>68</v>
      </c>
      <c r="K211" t="s">
        <v>69</v>
      </c>
      <c r="L211" t="s">
        <v>69</v>
      </c>
      <c r="M211" t="s">
        <v>70</v>
      </c>
      <c r="N211" t="s">
        <v>71</v>
      </c>
      <c r="O211" t="s">
        <v>71</v>
      </c>
      <c r="P211" t="s">
        <v>72</v>
      </c>
      <c r="Q211" t="s">
        <v>73</v>
      </c>
      <c r="R211" t="s">
        <v>1317</v>
      </c>
      <c r="S211" t="s">
        <v>74</v>
      </c>
      <c r="T211" t="s">
        <v>134</v>
      </c>
      <c r="U211">
        <v>4016930000</v>
      </c>
      <c r="V211" t="s">
        <v>76</v>
      </c>
      <c r="W211" t="s">
        <v>1343</v>
      </c>
      <c r="X211">
        <v>23125</v>
      </c>
      <c r="Y211" t="s">
        <v>137</v>
      </c>
      <c r="Z211" t="s">
        <v>1339</v>
      </c>
      <c r="AA211" t="s">
        <v>80</v>
      </c>
      <c r="AB211" t="s">
        <v>79</v>
      </c>
      <c r="AC211" t="s">
        <v>320</v>
      </c>
      <c r="AD211">
        <v>23125</v>
      </c>
      <c r="AE211" t="s">
        <v>80</v>
      </c>
      <c r="AG211">
        <v>3649.94</v>
      </c>
      <c r="AH211">
        <v>89.93</v>
      </c>
      <c r="AI211">
        <v>63.87</v>
      </c>
      <c r="AJ211">
        <v>3803.75</v>
      </c>
      <c r="AK211">
        <v>228.23</v>
      </c>
      <c r="AL211">
        <v>645.12</v>
      </c>
      <c r="AM211">
        <v>80.64</v>
      </c>
      <c r="AN211">
        <v>6.97</v>
      </c>
      <c r="AO211">
        <v>8.85</v>
      </c>
      <c r="AP211">
        <v>8</v>
      </c>
      <c r="AQ211" t="s">
        <v>82</v>
      </c>
      <c r="AR211">
        <v>475.46800000000002</v>
      </c>
      <c r="AS211">
        <v>8</v>
      </c>
      <c r="AT211" t="s">
        <v>107</v>
      </c>
      <c r="AU211" t="s">
        <v>84</v>
      </c>
      <c r="AV211">
        <v>1</v>
      </c>
      <c r="AW211" t="s">
        <v>85</v>
      </c>
      <c r="AX211" t="s">
        <v>1333</v>
      </c>
      <c r="AY211" t="s">
        <v>87</v>
      </c>
      <c r="AZ211" t="s">
        <v>88</v>
      </c>
      <c r="BA211" t="s">
        <v>89</v>
      </c>
      <c r="BB211" t="s">
        <v>90</v>
      </c>
      <c r="BC211">
        <v>3369</v>
      </c>
      <c r="BD211">
        <v>20250210</v>
      </c>
      <c r="BE211">
        <v>456.24200000000002</v>
      </c>
      <c r="BG211">
        <v>6554787455</v>
      </c>
      <c r="BH211">
        <v>20250124</v>
      </c>
      <c r="BJ211" t="s">
        <v>89</v>
      </c>
    </row>
    <row r="212" spans="1:64" x14ac:dyDescent="0.2">
      <c r="A212">
        <v>27</v>
      </c>
      <c r="B212">
        <v>1</v>
      </c>
      <c r="C212">
        <v>2025</v>
      </c>
      <c r="D212" t="s">
        <v>1337</v>
      </c>
      <c r="E212">
        <v>2</v>
      </c>
      <c r="F212" t="s">
        <v>65</v>
      </c>
      <c r="G212" t="s">
        <v>66</v>
      </c>
      <c r="H212">
        <v>20550731399</v>
      </c>
      <c r="I212" t="s">
        <v>67</v>
      </c>
      <c r="J212" t="s">
        <v>68</v>
      </c>
      <c r="K212" t="s">
        <v>69</v>
      </c>
      <c r="L212" t="s">
        <v>69</v>
      </c>
      <c r="M212" t="s">
        <v>70</v>
      </c>
      <c r="N212" t="s">
        <v>71</v>
      </c>
      <c r="O212" t="s">
        <v>71</v>
      </c>
      <c r="P212" t="s">
        <v>72</v>
      </c>
      <c r="Q212" t="s">
        <v>73</v>
      </c>
      <c r="R212" t="s">
        <v>1317</v>
      </c>
      <c r="S212" t="s">
        <v>74</v>
      </c>
      <c r="T212" t="s">
        <v>134</v>
      </c>
      <c r="U212">
        <v>4016930000</v>
      </c>
      <c r="V212" t="s">
        <v>76</v>
      </c>
      <c r="W212" t="s">
        <v>1342</v>
      </c>
      <c r="X212" t="s">
        <v>1341</v>
      </c>
      <c r="Y212" t="s">
        <v>137</v>
      </c>
      <c r="Z212" t="s">
        <v>1339</v>
      </c>
      <c r="AA212" t="s">
        <v>80</v>
      </c>
      <c r="AB212" t="s">
        <v>79</v>
      </c>
      <c r="AC212" t="s">
        <v>320</v>
      </c>
      <c r="AD212" t="s">
        <v>1341</v>
      </c>
      <c r="AE212" t="s">
        <v>80</v>
      </c>
      <c r="AG212">
        <v>448.71</v>
      </c>
      <c r="AH212">
        <v>11.06</v>
      </c>
      <c r="AI212">
        <v>7.85</v>
      </c>
      <c r="AJ212">
        <v>467.62</v>
      </c>
      <c r="AK212">
        <v>28.06</v>
      </c>
      <c r="AL212">
        <v>79.31</v>
      </c>
      <c r="AM212">
        <v>9.91</v>
      </c>
      <c r="AN212">
        <v>0.86</v>
      </c>
      <c r="AO212">
        <v>1.0900000000000001</v>
      </c>
      <c r="AP212">
        <v>4</v>
      </c>
      <c r="AQ212" t="s">
        <v>82</v>
      </c>
      <c r="AR212">
        <v>116.904</v>
      </c>
      <c r="AS212">
        <v>4</v>
      </c>
      <c r="AT212" t="s">
        <v>107</v>
      </c>
      <c r="AU212" t="s">
        <v>84</v>
      </c>
      <c r="AV212">
        <v>0</v>
      </c>
      <c r="AW212" t="s">
        <v>85</v>
      </c>
      <c r="AX212" t="s">
        <v>1333</v>
      </c>
      <c r="AY212" t="s">
        <v>87</v>
      </c>
      <c r="AZ212" t="s">
        <v>88</v>
      </c>
      <c r="BA212" t="s">
        <v>89</v>
      </c>
      <c r="BB212" t="s">
        <v>90</v>
      </c>
      <c r="BC212">
        <v>3369</v>
      </c>
      <c r="BD212">
        <v>20250210</v>
      </c>
      <c r="BE212">
        <v>112.178</v>
      </c>
      <c r="BG212">
        <v>6554787455</v>
      </c>
      <c r="BH212">
        <v>20250124</v>
      </c>
      <c r="BJ212" t="s">
        <v>89</v>
      </c>
    </row>
    <row r="213" spans="1:64" x14ac:dyDescent="0.2">
      <c r="A213">
        <v>27</v>
      </c>
      <c r="B213">
        <v>1</v>
      </c>
      <c r="C213">
        <v>2025</v>
      </c>
      <c r="D213" t="s">
        <v>1337</v>
      </c>
      <c r="E213">
        <v>3</v>
      </c>
      <c r="F213" t="s">
        <v>65</v>
      </c>
      <c r="G213" t="s">
        <v>66</v>
      </c>
      <c r="H213">
        <v>20550731399</v>
      </c>
      <c r="I213" t="s">
        <v>67</v>
      </c>
      <c r="J213" t="s">
        <v>68</v>
      </c>
      <c r="K213" t="s">
        <v>69</v>
      </c>
      <c r="L213" t="s">
        <v>69</v>
      </c>
      <c r="M213" t="s">
        <v>70</v>
      </c>
      <c r="N213" t="s">
        <v>71</v>
      </c>
      <c r="O213" t="s">
        <v>71</v>
      </c>
      <c r="P213" t="s">
        <v>72</v>
      </c>
      <c r="Q213" t="s">
        <v>73</v>
      </c>
      <c r="R213" t="s">
        <v>1317</v>
      </c>
      <c r="S213" t="s">
        <v>74</v>
      </c>
      <c r="T213" t="s">
        <v>134</v>
      </c>
      <c r="U213">
        <v>4016930000</v>
      </c>
      <c r="V213" t="s">
        <v>76</v>
      </c>
      <c r="W213" t="s">
        <v>1340</v>
      </c>
      <c r="X213" t="s">
        <v>1338</v>
      </c>
      <c r="Y213" t="s">
        <v>137</v>
      </c>
      <c r="Z213" t="s">
        <v>1339</v>
      </c>
      <c r="AA213" t="s">
        <v>80</v>
      </c>
      <c r="AB213" t="s">
        <v>79</v>
      </c>
      <c r="AC213" t="s">
        <v>320</v>
      </c>
      <c r="AD213" t="s">
        <v>1338</v>
      </c>
      <c r="AE213" t="s">
        <v>80</v>
      </c>
      <c r="AG213">
        <v>293.62</v>
      </c>
      <c r="AH213">
        <v>7.24</v>
      </c>
      <c r="AI213">
        <v>5.14</v>
      </c>
      <c r="AJ213">
        <v>305.99</v>
      </c>
      <c r="AK213">
        <v>18.36</v>
      </c>
      <c r="AL213">
        <v>51.9</v>
      </c>
      <c r="AM213">
        <v>6.49</v>
      </c>
      <c r="AN213">
        <v>0.56000000000000005</v>
      </c>
      <c r="AO213">
        <v>0.71</v>
      </c>
      <c r="AP213">
        <v>2</v>
      </c>
      <c r="AQ213" t="s">
        <v>82</v>
      </c>
      <c r="AR213">
        <v>152.99600000000001</v>
      </c>
      <c r="AS213">
        <v>2</v>
      </c>
      <c r="AT213" t="s">
        <v>107</v>
      </c>
      <c r="AU213" t="s">
        <v>84</v>
      </c>
      <c r="AV213">
        <v>0</v>
      </c>
      <c r="AW213" t="s">
        <v>85</v>
      </c>
      <c r="AX213" t="s">
        <v>1333</v>
      </c>
      <c r="AY213" t="s">
        <v>87</v>
      </c>
      <c r="AZ213" t="s">
        <v>88</v>
      </c>
      <c r="BA213" t="s">
        <v>89</v>
      </c>
      <c r="BB213" t="s">
        <v>90</v>
      </c>
      <c r="BC213">
        <v>3369</v>
      </c>
      <c r="BD213">
        <v>20250210</v>
      </c>
      <c r="BE213">
        <v>146.81</v>
      </c>
      <c r="BG213">
        <v>6554787455</v>
      </c>
      <c r="BH213">
        <v>20250124</v>
      </c>
      <c r="BJ213" t="s">
        <v>89</v>
      </c>
    </row>
    <row r="214" spans="1:64" x14ac:dyDescent="0.2">
      <c r="A214">
        <v>27</v>
      </c>
      <c r="B214">
        <v>1</v>
      </c>
      <c r="C214">
        <v>2025</v>
      </c>
      <c r="D214" t="s">
        <v>1337</v>
      </c>
      <c r="E214">
        <v>4</v>
      </c>
      <c r="F214" t="s">
        <v>65</v>
      </c>
      <c r="G214" t="s">
        <v>66</v>
      </c>
      <c r="H214">
        <v>20550731399</v>
      </c>
      <c r="I214" t="s">
        <v>67</v>
      </c>
      <c r="J214" t="s">
        <v>68</v>
      </c>
      <c r="K214" t="s">
        <v>69</v>
      </c>
      <c r="L214" t="s">
        <v>69</v>
      </c>
      <c r="M214" t="s">
        <v>70</v>
      </c>
      <c r="N214" t="s">
        <v>71</v>
      </c>
      <c r="O214" t="s">
        <v>71</v>
      </c>
      <c r="P214" t="s">
        <v>72</v>
      </c>
      <c r="Q214" t="s">
        <v>73</v>
      </c>
      <c r="R214" t="s">
        <v>1317</v>
      </c>
      <c r="S214" t="s">
        <v>74</v>
      </c>
      <c r="T214" t="s">
        <v>134</v>
      </c>
      <c r="U214">
        <v>8482990000</v>
      </c>
      <c r="V214" t="s">
        <v>142</v>
      </c>
      <c r="W214" t="s">
        <v>1336</v>
      </c>
      <c r="X214">
        <v>41752</v>
      </c>
      <c r="Y214" t="s">
        <v>1335</v>
      </c>
      <c r="Z214" t="s">
        <v>1334</v>
      </c>
      <c r="AA214" t="s">
        <v>147</v>
      </c>
      <c r="AB214" t="s">
        <v>1334</v>
      </c>
      <c r="AC214" t="s">
        <v>141</v>
      </c>
      <c r="AD214">
        <v>41752</v>
      </c>
      <c r="AE214" t="s">
        <v>147</v>
      </c>
      <c r="AG214">
        <v>843.22</v>
      </c>
      <c r="AH214">
        <v>20.78</v>
      </c>
      <c r="AI214">
        <v>12.65</v>
      </c>
      <c r="AJ214">
        <v>876.64</v>
      </c>
      <c r="AK214">
        <v>0</v>
      </c>
      <c r="AL214">
        <v>140.26</v>
      </c>
      <c r="AM214">
        <v>17.53</v>
      </c>
      <c r="AN214">
        <v>1.61</v>
      </c>
      <c r="AO214">
        <v>2.0499999999999998</v>
      </c>
      <c r="AP214">
        <v>2</v>
      </c>
      <c r="AQ214" t="s">
        <v>82</v>
      </c>
      <c r="AR214">
        <v>438.322</v>
      </c>
      <c r="AS214">
        <v>2</v>
      </c>
      <c r="AT214" t="s">
        <v>107</v>
      </c>
      <c r="AU214" t="s">
        <v>84</v>
      </c>
      <c r="AV214">
        <v>0</v>
      </c>
      <c r="AW214" t="s">
        <v>85</v>
      </c>
      <c r="AX214" t="s">
        <v>1333</v>
      </c>
      <c r="AY214" t="s">
        <v>87</v>
      </c>
      <c r="AZ214" t="s">
        <v>88</v>
      </c>
      <c r="BA214" t="s">
        <v>89</v>
      </c>
      <c r="BB214" t="s">
        <v>90</v>
      </c>
      <c r="BC214">
        <v>3369</v>
      </c>
      <c r="BD214">
        <v>20250210</v>
      </c>
      <c r="BE214">
        <v>421.61</v>
      </c>
      <c r="BG214">
        <v>6554787455</v>
      </c>
      <c r="BH214">
        <v>20250124</v>
      </c>
      <c r="BJ214" t="s">
        <v>89</v>
      </c>
    </row>
    <row r="215" spans="1:64" x14ac:dyDescent="0.2">
      <c r="A215">
        <v>31</v>
      </c>
      <c r="B215">
        <v>1</v>
      </c>
      <c r="C215">
        <v>2025</v>
      </c>
      <c r="D215" t="s">
        <v>1332</v>
      </c>
      <c r="E215">
        <v>1</v>
      </c>
      <c r="F215" t="s">
        <v>279</v>
      </c>
      <c r="G215" t="s">
        <v>66</v>
      </c>
      <c r="H215">
        <v>20550731399</v>
      </c>
      <c r="I215" t="s">
        <v>67</v>
      </c>
      <c r="J215" t="s">
        <v>68</v>
      </c>
      <c r="K215" t="s">
        <v>69</v>
      </c>
      <c r="L215" t="s">
        <v>69</v>
      </c>
      <c r="M215" t="s">
        <v>70</v>
      </c>
      <c r="N215" t="s">
        <v>71</v>
      </c>
      <c r="O215" t="s">
        <v>71</v>
      </c>
      <c r="P215" t="s">
        <v>280</v>
      </c>
      <c r="Q215" t="s">
        <v>73</v>
      </c>
      <c r="R215" t="s">
        <v>74</v>
      </c>
      <c r="S215" t="s">
        <v>74</v>
      </c>
      <c r="T215" t="s">
        <v>163</v>
      </c>
      <c r="U215">
        <v>8483500000</v>
      </c>
      <c r="V215" t="s">
        <v>328</v>
      </c>
      <c r="W215" t="s">
        <v>1331</v>
      </c>
      <c r="X215" t="s">
        <v>1330</v>
      </c>
      <c r="Y215" t="s">
        <v>1329</v>
      </c>
      <c r="Z215" t="s">
        <v>1326</v>
      </c>
      <c r="AA215" t="s">
        <v>1328</v>
      </c>
      <c r="AB215" t="s">
        <v>652</v>
      </c>
      <c r="AC215" t="s">
        <v>177</v>
      </c>
      <c r="AD215" t="s">
        <v>1327</v>
      </c>
      <c r="AE215" t="s">
        <v>1326</v>
      </c>
      <c r="AG215">
        <v>27350</v>
      </c>
      <c r="AH215">
        <v>85</v>
      </c>
      <c r="AI215">
        <v>273.5</v>
      </c>
      <c r="AJ215">
        <v>27708.5</v>
      </c>
      <c r="AK215">
        <v>0</v>
      </c>
      <c r="AL215">
        <v>4433.3599999999997</v>
      </c>
      <c r="AM215">
        <v>554.16999999999996</v>
      </c>
      <c r="AN215">
        <v>312.55</v>
      </c>
      <c r="AO215">
        <v>331</v>
      </c>
      <c r="AP215">
        <v>26</v>
      </c>
      <c r="AQ215" t="s">
        <v>82</v>
      </c>
      <c r="AR215">
        <v>1065.712</v>
      </c>
      <c r="AS215">
        <v>26</v>
      </c>
      <c r="AT215" t="s">
        <v>107</v>
      </c>
      <c r="AU215" t="s">
        <v>84</v>
      </c>
      <c r="AV215">
        <v>1</v>
      </c>
      <c r="AW215" t="s">
        <v>85</v>
      </c>
      <c r="AX215" t="s">
        <v>1325</v>
      </c>
      <c r="AY215" t="s">
        <v>108</v>
      </c>
      <c r="AZ215" t="s">
        <v>322</v>
      </c>
      <c r="BA215" t="s">
        <v>323</v>
      </c>
      <c r="BB215" t="s">
        <v>90</v>
      </c>
      <c r="BC215">
        <v>199</v>
      </c>
      <c r="BD215">
        <v>20250203</v>
      </c>
      <c r="BE215">
        <v>1051.923</v>
      </c>
      <c r="BF215" t="s">
        <v>1324</v>
      </c>
      <c r="BG215">
        <v>425600041</v>
      </c>
      <c r="BH215">
        <v>20250125</v>
      </c>
      <c r="BI215" t="s">
        <v>1323</v>
      </c>
      <c r="BJ215" t="s">
        <v>326</v>
      </c>
      <c r="BK215" t="s">
        <v>171</v>
      </c>
      <c r="BL215" t="s">
        <v>886</v>
      </c>
    </row>
    <row r="216" spans="1:64" x14ac:dyDescent="0.2">
      <c r="A216">
        <v>1</v>
      </c>
      <c r="B216">
        <v>2</v>
      </c>
      <c r="C216">
        <v>2025</v>
      </c>
      <c r="D216" t="s">
        <v>1318</v>
      </c>
      <c r="E216">
        <v>2</v>
      </c>
      <c r="F216" t="s">
        <v>65</v>
      </c>
      <c r="G216" t="s">
        <v>66</v>
      </c>
      <c r="H216">
        <v>20550731399</v>
      </c>
      <c r="I216" t="s">
        <v>67</v>
      </c>
      <c r="J216" t="s">
        <v>68</v>
      </c>
      <c r="K216" t="s">
        <v>69</v>
      </c>
      <c r="L216" t="s">
        <v>69</v>
      </c>
      <c r="M216" t="s">
        <v>70</v>
      </c>
      <c r="N216" t="s">
        <v>71</v>
      </c>
      <c r="O216" t="s">
        <v>71</v>
      </c>
      <c r="P216" t="s">
        <v>72</v>
      </c>
      <c r="Q216" t="s">
        <v>73</v>
      </c>
      <c r="R216" t="s">
        <v>1317</v>
      </c>
      <c r="S216" t="s">
        <v>74</v>
      </c>
      <c r="T216" t="s">
        <v>1316</v>
      </c>
      <c r="U216">
        <v>8431390000</v>
      </c>
      <c r="V216" t="s">
        <v>1315</v>
      </c>
      <c r="W216" t="s">
        <v>1322</v>
      </c>
      <c r="X216">
        <v>25194</v>
      </c>
      <c r="Y216" t="s">
        <v>1321</v>
      </c>
      <c r="Z216" t="s">
        <v>1320</v>
      </c>
      <c r="AA216" t="s">
        <v>107</v>
      </c>
      <c r="AD216">
        <f>Tabla1[[#This Row],[DESCRIPCIÓN DE MERCANCÍA 1]]</f>
        <v>25194</v>
      </c>
      <c r="AG216">
        <v>274.64</v>
      </c>
      <c r="AH216">
        <v>10.199999999999999</v>
      </c>
      <c r="AI216">
        <v>2.75</v>
      </c>
      <c r="AJ216">
        <v>287.58</v>
      </c>
      <c r="AK216">
        <v>0</v>
      </c>
      <c r="AL216">
        <v>46.01</v>
      </c>
      <c r="AM216">
        <v>5.75</v>
      </c>
      <c r="AN216">
        <v>0.37</v>
      </c>
      <c r="AO216">
        <v>0.49</v>
      </c>
      <c r="AP216">
        <v>8</v>
      </c>
      <c r="AQ216" t="s">
        <v>82</v>
      </c>
      <c r="AR216">
        <v>35.948</v>
      </c>
      <c r="AS216">
        <v>8</v>
      </c>
      <c r="AT216" t="s">
        <v>107</v>
      </c>
      <c r="AU216" t="s">
        <v>84</v>
      </c>
      <c r="AV216">
        <v>0</v>
      </c>
      <c r="AW216" t="s">
        <v>85</v>
      </c>
      <c r="AX216" t="s">
        <v>86</v>
      </c>
      <c r="AY216" t="s">
        <v>87</v>
      </c>
      <c r="AZ216" t="s">
        <v>88</v>
      </c>
      <c r="BA216" t="s">
        <v>89</v>
      </c>
      <c r="BB216" t="s">
        <v>1311</v>
      </c>
      <c r="BC216">
        <v>3364</v>
      </c>
      <c r="BD216">
        <v>20250203</v>
      </c>
      <c r="BE216">
        <v>34.33</v>
      </c>
      <c r="BG216">
        <v>2846267546</v>
      </c>
      <c r="BH216">
        <v>20250130</v>
      </c>
      <c r="BJ216" t="s">
        <v>89</v>
      </c>
      <c r="BL216" t="s">
        <v>886</v>
      </c>
    </row>
    <row r="217" spans="1:64" x14ac:dyDescent="0.2">
      <c r="A217">
        <v>1</v>
      </c>
      <c r="B217">
        <v>2</v>
      </c>
      <c r="C217">
        <v>2025</v>
      </c>
      <c r="D217" t="s">
        <v>1318</v>
      </c>
      <c r="E217">
        <v>3</v>
      </c>
      <c r="F217" t="s">
        <v>65</v>
      </c>
      <c r="G217" t="s">
        <v>66</v>
      </c>
      <c r="H217">
        <v>20550731399</v>
      </c>
      <c r="I217" t="s">
        <v>67</v>
      </c>
      <c r="J217" t="s">
        <v>68</v>
      </c>
      <c r="K217" t="s">
        <v>69</v>
      </c>
      <c r="L217" t="s">
        <v>69</v>
      </c>
      <c r="M217" t="s">
        <v>70</v>
      </c>
      <c r="N217" t="s">
        <v>71</v>
      </c>
      <c r="O217" t="s">
        <v>71</v>
      </c>
      <c r="P217" t="s">
        <v>72</v>
      </c>
      <c r="Q217" t="s">
        <v>73</v>
      </c>
      <c r="R217" t="s">
        <v>74</v>
      </c>
      <c r="S217" t="s">
        <v>74</v>
      </c>
      <c r="T217" t="s">
        <v>1316</v>
      </c>
      <c r="U217">
        <v>4016930000</v>
      </c>
      <c r="V217" t="s">
        <v>76</v>
      </c>
      <c r="W217" t="s">
        <v>454</v>
      </c>
      <c r="X217">
        <v>23123</v>
      </c>
      <c r="Y217" t="s">
        <v>1319</v>
      </c>
      <c r="Z217" t="s">
        <v>79</v>
      </c>
      <c r="AA217" t="s">
        <v>79</v>
      </c>
      <c r="AD217">
        <f>Tabla1[[#This Row],[DESCRIPCIÓN DE MERCANCÍA 1]]</f>
        <v>23123</v>
      </c>
      <c r="AG217">
        <v>3052.32</v>
      </c>
      <c r="AH217">
        <v>113.32</v>
      </c>
      <c r="AI217">
        <v>53.42</v>
      </c>
      <c r="AJ217">
        <v>3219.05</v>
      </c>
      <c r="AK217">
        <v>193.14</v>
      </c>
      <c r="AL217">
        <v>545.95000000000005</v>
      </c>
      <c r="AM217">
        <v>68.239999999999995</v>
      </c>
      <c r="AN217">
        <v>4.1100000000000003</v>
      </c>
      <c r="AO217">
        <v>5.44</v>
      </c>
      <c r="AP217">
        <v>8</v>
      </c>
      <c r="AQ217" t="s">
        <v>82</v>
      </c>
      <c r="AR217">
        <v>402.38200000000001</v>
      </c>
      <c r="AS217">
        <v>8</v>
      </c>
      <c r="AT217" t="s">
        <v>107</v>
      </c>
      <c r="AU217" t="s">
        <v>84</v>
      </c>
      <c r="AV217">
        <v>0</v>
      </c>
      <c r="AW217" t="s">
        <v>85</v>
      </c>
      <c r="AX217" t="s">
        <v>86</v>
      </c>
      <c r="AY217" t="s">
        <v>87</v>
      </c>
      <c r="AZ217" t="s">
        <v>88</v>
      </c>
      <c r="BA217" t="s">
        <v>89</v>
      </c>
      <c r="BB217" t="s">
        <v>1311</v>
      </c>
      <c r="BC217">
        <v>3364</v>
      </c>
      <c r="BD217">
        <v>20250203</v>
      </c>
      <c r="BE217">
        <v>381.54</v>
      </c>
      <c r="BG217">
        <v>2846267546</v>
      </c>
      <c r="BH217">
        <v>20250130</v>
      </c>
      <c r="BJ217" t="s">
        <v>89</v>
      </c>
      <c r="BL217" t="s">
        <v>886</v>
      </c>
    </row>
    <row r="218" spans="1:64" x14ac:dyDescent="0.2">
      <c r="A218">
        <v>1</v>
      </c>
      <c r="B218">
        <v>2</v>
      </c>
      <c r="C218">
        <v>2025</v>
      </c>
      <c r="D218" t="s">
        <v>1318</v>
      </c>
      <c r="E218">
        <v>1</v>
      </c>
      <c r="F218" t="s">
        <v>65</v>
      </c>
      <c r="G218" t="s">
        <v>66</v>
      </c>
      <c r="H218">
        <v>20550731399</v>
      </c>
      <c r="I218" t="s">
        <v>67</v>
      </c>
      <c r="J218" t="s">
        <v>68</v>
      </c>
      <c r="K218" t="s">
        <v>69</v>
      </c>
      <c r="L218" t="s">
        <v>69</v>
      </c>
      <c r="M218" t="s">
        <v>70</v>
      </c>
      <c r="N218" t="s">
        <v>71</v>
      </c>
      <c r="O218" t="s">
        <v>71</v>
      </c>
      <c r="P218" t="s">
        <v>72</v>
      </c>
      <c r="Q218" t="s">
        <v>73</v>
      </c>
      <c r="R218" t="s">
        <v>1317</v>
      </c>
      <c r="S218" t="s">
        <v>74</v>
      </c>
      <c r="T218" t="s">
        <v>1316</v>
      </c>
      <c r="U218">
        <v>8431390000</v>
      </c>
      <c r="V218" t="s">
        <v>1315</v>
      </c>
      <c r="W218" t="s">
        <v>1314</v>
      </c>
      <c r="X218">
        <v>21252</v>
      </c>
      <c r="Y218" t="s">
        <v>1313</v>
      </c>
      <c r="Z218" t="s">
        <v>1312</v>
      </c>
      <c r="AA218" t="s">
        <v>107</v>
      </c>
      <c r="AD218">
        <f>Tabla1[[#This Row],[DESCRIPCIÓN DE MERCANCÍA 1]]</f>
        <v>21252</v>
      </c>
      <c r="AG218">
        <v>390.2</v>
      </c>
      <c r="AH218">
        <v>14.49</v>
      </c>
      <c r="AI218">
        <v>3.9</v>
      </c>
      <c r="AJ218">
        <v>408.59</v>
      </c>
      <c r="AK218">
        <v>0</v>
      </c>
      <c r="AL218">
        <v>65.37</v>
      </c>
      <c r="AM218">
        <v>8.17</v>
      </c>
      <c r="AN218">
        <v>0.53</v>
      </c>
      <c r="AO218">
        <v>0.7</v>
      </c>
      <c r="AP218">
        <v>10</v>
      </c>
      <c r="AQ218" t="s">
        <v>82</v>
      </c>
      <c r="AR218">
        <v>40.859000000000002</v>
      </c>
      <c r="AS218">
        <v>10</v>
      </c>
      <c r="AT218" t="s">
        <v>107</v>
      </c>
      <c r="AU218" t="s">
        <v>84</v>
      </c>
      <c r="AV218">
        <v>1</v>
      </c>
      <c r="AW218" t="s">
        <v>85</v>
      </c>
      <c r="AX218" t="s">
        <v>86</v>
      </c>
      <c r="AY218" t="s">
        <v>87</v>
      </c>
      <c r="AZ218" t="s">
        <v>88</v>
      </c>
      <c r="BA218" t="s">
        <v>89</v>
      </c>
      <c r="BB218" t="s">
        <v>1311</v>
      </c>
      <c r="BC218">
        <v>3364</v>
      </c>
      <c r="BD218">
        <v>20250203</v>
      </c>
      <c r="BE218">
        <v>39.020000000000003</v>
      </c>
      <c r="BG218">
        <v>2846267546</v>
      </c>
      <c r="BH218">
        <v>20250130</v>
      </c>
      <c r="BJ218" t="s">
        <v>89</v>
      </c>
      <c r="BL218" t="s">
        <v>886</v>
      </c>
    </row>
    <row r="219" spans="1:64" x14ac:dyDescent="0.2">
      <c r="A219">
        <v>10</v>
      </c>
      <c r="B219">
        <v>2</v>
      </c>
      <c r="C219">
        <v>2025</v>
      </c>
      <c r="D219" t="s">
        <v>1297</v>
      </c>
      <c r="E219">
        <v>4</v>
      </c>
      <c r="F219" t="s">
        <v>65</v>
      </c>
      <c r="G219" t="s">
        <v>66</v>
      </c>
      <c r="H219">
        <v>20550731399</v>
      </c>
      <c r="I219" t="s">
        <v>67</v>
      </c>
      <c r="J219" t="s">
        <v>68</v>
      </c>
      <c r="K219" t="s">
        <v>69</v>
      </c>
      <c r="L219" t="s">
        <v>69</v>
      </c>
      <c r="M219" t="s">
        <v>70</v>
      </c>
      <c r="N219" t="s">
        <v>71</v>
      </c>
      <c r="O219" t="s">
        <v>71</v>
      </c>
      <c r="P219" t="s">
        <v>72</v>
      </c>
      <c r="Q219" t="s">
        <v>73</v>
      </c>
      <c r="R219" t="s">
        <v>117</v>
      </c>
      <c r="S219" t="s">
        <v>74</v>
      </c>
      <c r="T219" t="s">
        <v>246</v>
      </c>
      <c r="U219">
        <v>8483909000</v>
      </c>
      <c r="V219" t="s">
        <v>739</v>
      </c>
      <c r="W219" t="s">
        <v>1310</v>
      </c>
      <c r="X219" t="s">
        <v>1309</v>
      </c>
      <c r="Y219" t="s">
        <v>1302</v>
      </c>
      <c r="Z219" t="s">
        <v>1308</v>
      </c>
      <c r="AA219" t="s">
        <v>147</v>
      </c>
      <c r="AB219" t="s">
        <v>1308</v>
      </c>
      <c r="AC219" t="s">
        <v>214</v>
      </c>
      <c r="AD219" t="s">
        <v>1307</v>
      </c>
      <c r="AE219" t="s">
        <v>147</v>
      </c>
      <c r="AG219">
        <v>685.17</v>
      </c>
      <c r="AH219">
        <v>11.94</v>
      </c>
      <c r="AI219">
        <v>6.85</v>
      </c>
      <c r="AJ219">
        <v>703.96</v>
      </c>
      <c r="AK219">
        <v>42.24</v>
      </c>
      <c r="AL219">
        <v>119.39</v>
      </c>
      <c r="AM219">
        <v>14.92</v>
      </c>
      <c r="AN219">
        <v>1.76</v>
      </c>
      <c r="AO219">
        <v>1.99</v>
      </c>
      <c r="AP219">
        <v>18</v>
      </c>
      <c r="AQ219" t="s">
        <v>82</v>
      </c>
      <c r="AR219">
        <v>39.109000000000002</v>
      </c>
      <c r="AS219">
        <v>18</v>
      </c>
      <c r="AT219" t="s">
        <v>107</v>
      </c>
      <c r="AU219" t="s">
        <v>84</v>
      </c>
      <c r="AV219">
        <v>0</v>
      </c>
      <c r="AW219" t="s">
        <v>85</v>
      </c>
      <c r="AX219" t="s">
        <v>1245</v>
      </c>
      <c r="AY219" t="s">
        <v>87</v>
      </c>
      <c r="AZ219" t="s">
        <v>88</v>
      </c>
      <c r="BA219" t="s">
        <v>89</v>
      </c>
      <c r="BB219" t="s">
        <v>90</v>
      </c>
      <c r="BC219">
        <v>3369</v>
      </c>
      <c r="BD219">
        <v>20250210</v>
      </c>
      <c r="BE219">
        <v>38.064999999999998</v>
      </c>
      <c r="BG219">
        <v>8582291815</v>
      </c>
      <c r="BH219">
        <v>20250206</v>
      </c>
      <c r="BJ219" t="s">
        <v>89</v>
      </c>
      <c r="BK219" t="s">
        <v>171</v>
      </c>
    </row>
    <row r="220" spans="1:64" x14ac:dyDescent="0.2">
      <c r="A220">
        <v>10</v>
      </c>
      <c r="B220">
        <v>2</v>
      </c>
      <c r="C220">
        <v>2025</v>
      </c>
      <c r="D220" t="s">
        <v>1297</v>
      </c>
      <c r="E220">
        <v>1</v>
      </c>
      <c r="F220" t="s">
        <v>65</v>
      </c>
      <c r="G220" t="s">
        <v>66</v>
      </c>
      <c r="H220">
        <v>20550731399</v>
      </c>
      <c r="I220" t="s">
        <v>67</v>
      </c>
      <c r="J220" t="s">
        <v>68</v>
      </c>
      <c r="K220" t="s">
        <v>69</v>
      </c>
      <c r="L220" t="s">
        <v>69</v>
      </c>
      <c r="M220" t="s">
        <v>70</v>
      </c>
      <c r="N220" t="s">
        <v>71</v>
      </c>
      <c r="O220" t="s">
        <v>71</v>
      </c>
      <c r="P220" t="s">
        <v>72</v>
      </c>
      <c r="Q220" t="s">
        <v>73</v>
      </c>
      <c r="R220" t="s">
        <v>117</v>
      </c>
      <c r="S220" t="s">
        <v>74</v>
      </c>
      <c r="T220" t="s">
        <v>246</v>
      </c>
      <c r="U220">
        <v>4016991000</v>
      </c>
      <c r="V220" t="s">
        <v>1231</v>
      </c>
      <c r="W220" t="s">
        <v>1306</v>
      </c>
      <c r="X220" t="s">
        <v>269</v>
      </c>
      <c r="Y220" t="s">
        <v>1305</v>
      </c>
      <c r="Z220" t="s">
        <v>268</v>
      </c>
      <c r="AA220" t="s">
        <v>147</v>
      </c>
      <c r="AB220" t="s">
        <v>268</v>
      </c>
      <c r="AC220" t="s">
        <v>214</v>
      </c>
      <c r="AD220" t="s">
        <v>1304</v>
      </c>
      <c r="AE220" t="s">
        <v>147</v>
      </c>
      <c r="AG220">
        <v>9874.9</v>
      </c>
      <c r="AH220">
        <v>172.07</v>
      </c>
      <c r="AI220">
        <v>172.81</v>
      </c>
      <c r="AJ220">
        <v>10219.790000000001</v>
      </c>
      <c r="AK220">
        <v>613.19000000000005</v>
      </c>
      <c r="AL220">
        <v>1733.28</v>
      </c>
      <c r="AM220">
        <v>216.66</v>
      </c>
      <c r="AN220">
        <v>25.35</v>
      </c>
      <c r="AO220">
        <v>28.71</v>
      </c>
      <c r="AP220">
        <v>1</v>
      </c>
      <c r="AQ220" t="s">
        <v>82</v>
      </c>
      <c r="AR220">
        <v>10219.786</v>
      </c>
      <c r="AS220">
        <v>1</v>
      </c>
      <c r="AT220" t="s">
        <v>107</v>
      </c>
      <c r="AU220" t="s">
        <v>84</v>
      </c>
      <c r="AV220">
        <v>1</v>
      </c>
      <c r="AW220" t="s">
        <v>85</v>
      </c>
      <c r="AX220" t="s">
        <v>1245</v>
      </c>
      <c r="AY220" t="s">
        <v>87</v>
      </c>
      <c r="AZ220" t="s">
        <v>88</v>
      </c>
      <c r="BA220" t="s">
        <v>89</v>
      </c>
      <c r="BB220" t="s">
        <v>90</v>
      </c>
      <c r="BC220">
        <v>3369</v>
      </c>
      <c r="BD220">
        <v>20250210</v>
      </c>
      <c r="BE220">
        <v>9874.9</v>
      </c>
      <c r="BG220">
        <v>8582291815</v>
      </c>
      <c r="BH220">
        <v>20250206</v>
      </c>
      <c r="BJ220" t="s">
        <v>89</v>
      </c>
      <c r="BK220" t="s">
        <v>171</v>
      </c>
    </row>
    <row r="221" spans="1:64" x14ac:dyDescent="0.2">
      <c r="A221">
        <v>10</v>
      </c>
      <c r="B221">
        <v>2</v>
      </c>
      <c r="C221">
        <v>2025</v>
      </c>
      <c r="D221" t="s">
        <v>1297</v>
      </c>
      <c r="E221">
        <v>5</v>
      </c>
      <c r="F221" t="s">
        <v>65</v>
      </c>
      <c r="G221" t="s">
        <v>66</v>
      </c>
      <c r="H221">
        <v>20550731399</v>
      </c>
      <c r="I221" t="s">
        <v>67</v>
      </c>
      <c r="J221" t="s">
        <v>68</v>
      </c>
      <c r="K221" t="s">
        <v>69</v>
      </c>
      <c r="L221" t="s">
        <v>69</v>
      </c>
      <c r="M221" t="s">
        <v>70</v>
      </c>
      <c r="N221" t="s">
        <v>71</v>
      </c>
      <c r="O221" t="s">
        <v>71</v>
      </c>
      <c r="P221" t="s">
        <v>72</v>
      </c>
      <c r="Q221" t="s">
        <v>73</v>
      </c>
      <c r="R221" t="s">
        <v>117</v>
      </c>
      <c r="S221" t="s">
        <v>74</v>
      </c>
      <c r="T221" t="s">
        <v>246</v>
      </c>
      <c r="U221">
        <v>7318220000</v>
      </c>
      <c r="V221" t="s">
        <v>247</v>
      </c>
      <c r="W221" t="s">
        <v>1303</v>
      </c>
      <c r="X221">
        <v>7033708000</v>
      </c>
      <c r="Y221" t="s">
        <v>1302</v>
      </c>
      <c r="Z221" t="s">
        <v>249</v>
      </c>
      <c r="AA221" t="s">
        <v>147</v>
      </c>
      <c r="AB221" t="s">
        <v>249</v>
      </c>
      <c r="AC221" t="s">
        <v>214</v>
      </c>
      <c r="AD221" t="s">
        <v>1301</v>
      </c>
      <c r="AE221" t="s">
        <v>147</v>
      </c>
      <c r="AG221">
        <v>253.87</v>
      </c>
      <c r="AH221">
        <v>4.42</v>
      </c>
      <c r="AI221">
        <v>6.98</v>
      </c>
      <c r="AJ221">
        <v>265.27999999999997</v>
      </c>
      <c r="AK221">
        <v>15.92</v>
      </c>
      <c r="AL221">
        <v>44.99</v>
      </c>
      <c r="AM221">
        <v>5.62</v>
      </c>
      <c r="AN221">
        <v>0.65</v>
      </c>
      <c r="AO221">
        <v>0.74</v>
      </c>
      <c r="AP221">
        <v>0.65</v>
      </c>
      <c r="AQ221" t="s">
        <v>251</v>
      </c>
      <c r="AR221">
        <v>408.11700000000002</v>
      </c>
      <c r="AS221">
        <v>18</v>
      </c>
      <c r="AT221" t="s">
        <v>107</v>
      </c>
      <c r="AU221" t="s">
        <v>84</v>
      </c>
      <c r="AV221">
        <v>0</v>
      </c>
      <c r="AW221" t="s">
        <v>85</v>
      </c>
      <c r="AX221" t="s">
        <v>1245</v>
      </c>
      <c r="AY221" t="s">
        <v>87</v>
      </c>
      <c r="AZ221" t="s">
        <v>88</v>
      </c>
      <c r="BA221" t="s">
        <v>89</v>
      </c>
      <c r="BB221" t="s">
        <v>90</v>
      </c>
      <c r="BC221">
        <v>3369</v>
      </c>
      <c r="BD221">
        <v>20250210</v>
      </c>
      <c r="BE221">
        <v>390.56900000000002</v>
      </c>
      <c r="BG221">
        <v>8582291815</v>
      </c>
      <c r="BH221">
        <v>20250206</v>
      </c>
      <c r="BJ221" t="s">
        <v>89</v>
      </c>
      <c r="BK221" t="s">
        <v>171</v>
      </c>
    </row>
    <row r="222" spans="1:64" x14ac:dyDescent="0.2">
      <c r="A222">
        <v>10</v>
      </c>
      <c r="B222">
        <v>2</v>
      </c>
      <c r="C222">
        <v>2025</v>
      </c>
      <c r="D222" t="s">
        <v>1297</v>
      </c>
      <c r="E222">
        <v>2</v>
      </c>
      <c r="F222" t="s">
        <v>65</v>
      </c>
      <c r="G222" t="s">
        <v>66</v>
      </c>
      <c r="H222">
        <v>20550731399</v>
      </c>
      <c r="I222" t="s">
        <v>67</v>
      </c>
      <c r="J222" t="s">
        <v>68</v>
      </c>
      <c r="K222" t="s">
        <v>69</v>
      </c>
      <c r="L222" t="s">
        <v>69</v>
      </c>
      <c r="M222" t="s">
        <v>70</v>
      </c>
      <c r="N222" t="s">
        <v>71</v>
      </c>
      <c r="O222" t="s">
        <v>71</v>
      </c>
      <c r="P222" t="s">
        <v>72</v>
      </c>
      <c r="Q222" t="s">
        <v>73</v>
      </c>
      <c r="R222" t="s">
        <v>117</v>
      </c>
      <c r="S222" t="s">
        <v>74</v>
      </c>
      <c r="T222" t="s">
        <v>246</v>
      </c>
      <c r="U222">
        <v>7318160000</v>
      </c>
      <c r="V222" t="s">
        <v>275</v>
      </c>
      <c r="W222" t="s">
        <v>1300</v>
      </c>
      <c r="X222">
        <v>7020108000</v>
      </c>
      <c r="Y222" t="s">
        <v>1294</v>
      </c>
      <c r="Z222" t="s">
        <v>1299</v>
      </c>
      <c r="AA222" t="s">
        <v>147</v>
      </c>
      <c r="AB222" t="s">
        <v>1299</v>
      </c>
      <c r="AC222" t="s">
        <v>214</v>
      </c>
      <c r="AD222" t="s">
        <v>1298</v>
      </c>
      <c r="AE222" t="s">
        <v>147</v>
      </c>
      <c r="AG222">
        <v>184.56</v>
      </c>
      <c r="AH222">
        <v>3.22</v>
      </c>
      <c r="AI222">
        <v>5.08</v>
      </c>
      <c r="AJ222">
        <v>192.85</v>
      </c>
      <c r="AK222">
        <v>11.57</v>
      </c>
      <c r="AL222">
        <v>32.71</v>
      </c>
      <c r="AM222">
        <v>4.09</v>
      </c>
      <c r="AN222">
        <v>0.47</v>
      </c>
      <c r="AO222">
        <v>0.54</v>
      </c>
      <c r="AP222">
        <v>0.47</v>
      </c>
      <c r="AQ222" t="s">
        <v>251</v>
      </c>
      <c r="AR222">
        <v>410.32100000000003</v>
      </c>
      <c r="AS222">
        <v>18</v>
      </c>
      <c r="AT222" t="s">
        <v>107</v>
      </c>
      <c r="AU222" t="s">
        <v>84</v>
      </c>
      <c r="AV222">
        <v>0</v>
      </c>
      <c r="AW222" t="s">
        <v>85</v>
      </c>
      <c r="AX222" t="s">
        <v>1245</v>
      </c>
      <c r="AY222" t="s">
        <v>87</v>
      </c>
      <c r="AZ222" t="s">
        <v>88</v>
      </c>
      <c r="BA222" t="s">
        <v>89</v>
      </c>
      <c r="BB222" t="s">
        <v>90</v>
      </c>
      <c r="BC222">
        <v>3369</v>
      </c>
      <c r="BD222">
        <v>20250210</v>
      </c>
      <c r="BE222">
        <v>392.68099999999998</v>
      </c>
      <c r="BG222">
        <v>8582291815</v>
      </c>
      <c r="BH222">
        <v>20250206</v>
      </c>
      <c r="BJ222" t="s">
        <v>89</v>
      </c>
      <c r="BK222" t="s">
        <v>171</v>
      </c>
    </row>
    <row r="223" spans="1:64" x14ac:dyDescent="0.2">
      <c r="A223">
        <v>10</v>
      </c>
      <c r="B223">
        <v>2</v>
      </c>
      <c r="C223">
        <v>2025</v>
      </c>
      <c r="D223" t="s">
        <v>1297</v>
      </c>
      <c r="E223">
        <v>3</v>
      </c>
      <c r="F223" t="s">
        <v>65</v>
      </c>
      <c r="G223" t="s">
        <v>66</v>
      </c>
      <c r="H223">
        <v>20550731399</v>
      </c>
      <c r="I223" t="s">
        <v>67</v>
      </c>
      <c r="J223" t="s">
        <v>68</v>
      </c>
      <c r="K223" t="s">
        <v>69</v>
      </c>
      <c r="L223" t="s">
        <v>69</v>
      </c>
      <c r="M223" t="s">
        <v>70</v>
      </c>
      <c r="N223" t="s">
        <v>71</v>
      </c>
      <c r="O223" t="s">
        <v>71</v>
      </c>
      <c r="P223" t="s">
        <v>72</v>
      </c>
      <c r="Q223" t="s">
        <v>73</v>
      </c>
      <c r="R223" t="s">
        <v>117</v>
      </c>
      <c r="S223" t="s">
        <v>74</v>
      </c>
      <c r="T223" t="s">
        <v>246</v>
      </c>
      <c r="U223">
        <v>7318160000</v>
      </c>
      <c r="V223" t="s">
        <v>275</v>
      </c>
      <c r="W223" t="s">
        <v>1296</v>
      </c>
      <c r="X223" t="s">
        <v>1295</v>
      </c>
      <c r="Y223" t="s">
        <v>1294</v>
      </c>
      <c r="Z223" t="s">
        <v>1293</v>
      </c>
      <c r="AA223" t="s">
        <v>147</v>
      </c>
      <c r="AB223" t="s">
        <v>1293</v>
      </c>
      <c r="AC223" t="s">
        <v>214</v>
      </c>
      <c r="AD223" t="s">
        <v>1292</v>
      </c>
      <c r="AE223" t="s">
        <v>147</v>
      </c>
      <c r="AG223">
        <v>689.5</v>
      </c>
      <c r="AH223">
        <v>12.02</v>
      </c>
      <c r="AI223">
        <v>18.96</v>
      </c>
      <c r="AJ223">
        <v>720.48</v>
      </c>
      <c r="AK223">
        <v>43.23</v>
      </c>
      <c r="AL223">
        <v>122.19</v>
      </c>
      <c r="AM223">
        <v>15.27</v>
      </c>
      <c r="AN223">
        <v>1.77</v>
      </c>
      <c r="AO223">
        <v>2</v>
      </c>
      <c r="AP223">
        <v>1.77</v>
      </c>
      <c r="AQ223" t="s">
        <v>251</v>
      </c>
      <c r="AR223">
        <v>407.04899999999998</v>
      </c>
      <c r="AS223">
        <v>18</v>
      </c>
      <c r="AT223" t="s">
        <v>107</v>
      </c>
      <c r="AU223" t="s">
        <v>84</v>
      </c>
      <c r="AV223">
        <v>0</v>
      </c>
      <c r="AW223" t="s">
        <v>85</v>
      </c>
      <c r="AX223" t="s">
        <v>1245</v>
      </c>
      <c r="AY223" t="s">
        <v>87</v>
      </c>
      <c r="AZ223" t="s">
        <v>88</v>
      </c>
      <c r="BA223" t="s">
        <v>89</v>
      </c>
      <c r="BB223" t="s">
        <v>90</v>
      </c>
      <c r="BC223">
        <v>3369</v>
      </c>
      <c r="BD223">
        <v>20250210</v>
      </c>
      <c r="BE223">
        <v>389.548</v>
      </c>
      <c r="BG223">
        <v>8582291815</v>
      </c>
      <c r="BH223">
        <v>20250206</v>
      </c>
      <c r="BJ223" t="s">
        <v>89</v>
      </c>
      <c r="BK223" t="s">
        <v>171</v>
      </c>
    </row>
    <row r="224" spans="1:64" x14ac:dyDescent="0.2">
      <c r="A224">
        <v>14</v>
      </c>
      <c r="B224">
        <v>2</v>
      </c>
      <c r="C224">
        <v>2025</v>
      </c>
      <c r="D224" t="s">
        <v>1291</v>
      </c>
      <c r="E224">
        <v>1</v>
      </c>
      <c r="F224" t="s">
        <v>65</v>
      </c>
      <c r="G224" t="s">
        <v>66</v>
      </c>
      <c r="H224">
        <v>20550731399</v>
      </c>
      <c r="I224" t="s">
        <v>67</v>
      </c>
      <c r="J224" t="s">
        <v>68</v>
      </c>
      <c r="K224" t="s">
        <v>69</v>
      </c>
      <c r="L224" t="s">
        <v>69</v>
      </c>
      <c r="M224" t="s">
        <v>70</v>
      </c>
      <c r="N224" t="s">
        <v>71</v>
      </c>
      <c r="O224" t="s">
        <v>71</v>
      </c>
      <c r="P224" t="s">
        <v>72</v>
      </c>
      <c r="Q224" t="s">
        <v>73</v>
      </c>
      <c r="R224" t="s">
        <v>74</v>
      </c>
      <c r="S224" t="s">
        <v>74</v>
      </c>
      <c r="T224" t="s">
        <v>163</v>
      </c>
      <c r="U224">
        <v>8483500000</v>
      </c>
      <c r="V224" t="s">
        <v>328</v>
      </c>
      <c r="W224" t="s">
        <v>1183</v>
      </c>
      <c r="X224" t="s">
        <v>1290</v>
      </c>
      <c r="Y224" t="s">
        <v>1289</v>
      </c>
      <c r="Z224" t="s">
        <v>1288</v>
      </c>
      <c r="AA224" t="s">
        <v>486</v>
      </c>
      <c r="AB224" t="s">
        <v>268</v>
      </c>
      <c r="AC224" t="s">
        <v>214</v>
      </c>
      <c r="AD224" t="s">
        <v>1181</v>
      </c>
      <c r="AE224" t="s">
        <v>1288</v>
      </c>
      <c r="AG224">
        <v>11725.38</v>
      </c>
      <c r="AH224">
        <v>290</v>
      </c>
      <c r="AI224">
        <v>117.25</v>
      </c>
      <c r="AJ224">
        <v>12132.63</v>
      </c>
      <c r="AK224">
        <v>0</v>
      </c>
      <c r="AL224">
        <v>1941.22</v>
      </c>
      <c r="AM224">
        <v>242.65</v>
      </c>
      <c r="AN224">
        <v>41.8</v>
      </c>
      <c r="AO224">
        <v>44.6</v>
      </c>
      <c r="AP224">
        <v>1</v>
      </c>
      <c r="AQ224" t="s">
        <v>82</v>
      </c>
      <c r="AR224">
        <v>12132.634</v>
      </c>
      <c r="AS224">
        <v>1</v>
      </c>
      <c r="AT224" t="s">
        <v>107</v>
      </c>
      <c r="AU224" t="s">
        <v>84</v>
      </c>
      <c r="AV224">
        <v>1</v>
      </c>
      <c r="AW224" t="s">
        <v>85</v>
      </c>
      <c r="AX224" t="s">
        <v>215</v>
      </c>
      <c r="AY224" t="s">
        <v>108</v>
      </c>
      <c r="AZ224" t="s">
        <v>169</v>
      </c>
      <c r="BA224" t="s">
        <v>170</v>
      </c>
      <c r="BB224" t="s">
        <v>90</v>
      </c>
      <c r="BC224">
        <v>3358</v>
      </c>
      <c r="BD224">
        <v>20250215</v>
      </c>
      <c r="BE224">
        <v>11725.38</v>
      </c>
      <c r="BG224">
        <v>425200166</v>
      </c>
      <c r="BH224">
        <v>20250213</v>
      </c>
      <c r="BJ224" t="s">
        <v>112</v>
      </c>
      <c r="BK224" t="s">
        <v>171</v>
      </c>
      <c r="BL224" t="s">
        <v>886</v>
      </c>
    </row>
    <row r="225" spans="1:64" x14ac:dyDescent="0.2">
      <c r="A225">
        <v>11</v>
      </c>
      <c r="B225">
        <v>3</v>
      </c>
      <c r="C225">
        <v>2025</v>
      </c>
      <c r="D225" t="s">
        <v>1244</v>
      </c>
      <c r="E225">
        <v>4</v>
      </c>
      <c r="F225" t="s">
        <v>65</v>
      </c>
      <c r="G225" t="s">
        <v>66</v>
      </c>
      <c r="H225">
        <v>20550731399</v>
      </c>
      <c r="I225" t="s">
        <v>67</v>
      </c>
      <c r="J225" t="s">
        <v>68</v>
      </c>
      <c r="K225" t="s">
        <v>69</v>
      </c>
      <c r="L225" t="s">
        <v>69</v>
      </c>
      <c r="M225" t="s">
        <v>70</v>
      </c>
      <c r="N225" t="s">
        <v>71</v>
      </c>
      <c r="O225" t="s">
        <v>71</v>
      </c>
      <c r="P225" t="s">
        <v>72</v>
      </c>
      <c r="Q225" t="s">
        <v>73</v>
      </c>
      <c r="R225" t="s">
        <v>74</v>
      </c>
      <c r="S225" t="s">
        <v>74</v>
      </c>
      <c r="T225" t="s">
        <v>75</v>
      </c>
      <c r="U225">
        <v>4016930000</v>
      </c>
      <c r="V225" t="s">
        <v>76</v>
      </c>
      <c r="W225" t="s">
        <v>1287</v>
      </c>
      <c r="X225">
        <v>923548</v>
      </c>
      <c r="Y225" t="s">
        <v>137</v>
      </c>
      <c r="Z225" t="s">
        <v>1242</v>
      </c>
      <c r="AA225" t="s">
        <v>80</v>
      </c>
      <c r="AB225" t="s">
        <v>1242</v>
      </c>
      <c r="AC225" t="s">
        <v>177</v>
      </c>
      <c r="AD225">
        <v>923548</v>
      </c>
      <c r="AE225" t="s">
        <v>80</v>
      </c>
      <c r="AG225">
        <v>225.21</v>
      </c>
      <c r="AH225">
        <v>6</v>
      </c>
      <c r="AI225">
        <v>3.94</v>
      </c>
      <c r="AJ225">
        <v>235.15</v>
      </c>
      <c r="AK225">
        <v>14.11</v>
      </c>
      <c r="AL225">
        <v>39.880000000000003</v>
      </c>
      <c r="AM225">
        <v>4.99</v>
      </c>
      <c r="AN225">
        <v>0.42</v>
      </c>
      <c r="AO225">
        <v>0.51</v>
      </c>
      <c r="AP225">
        <v>20</v>
      </c>
      <c r="AQ225" t="s">
        <v>82</v>
      </c>
      <c r="AR225">
        <v>11.757999999999999</v>
      </c>
      <c r="AS225">
        <v>20</v>
      </c>
      <c r="AT225" t="s">
        <v>83</v>
      </c>
      <c r="AU225" t="s">
        <v>84</v>
      </c>
      <c r="AV225">
        <v>0</v>
      </c>
      <c r="AW225" t="s">
        <v>85</v>
      </c>
      <c r="AY225" t="s">
        <v>87</v>
      </c>
      <c r="AZ225" t="s">
        <v>88</v>
      </c>
      <c r="BA225" t="s">
        <v>89</v>
      </c>
      <c r="BC225">
        <v>6318</v>
      </c>
      <c r="BD225">
        <v>20250312</v>
      </c>
      <c r="BE225">
        <v>11.26</v>
      </c>
      <c r="BG225">
        <v>5985562015</v>
      </c>
      <c r="BH225">
        <v>20250306</v>
      </c>
      <c r="BJ225" t="s">
        <v>89</v>
      </c>
      <c r="BK225" t="s">
        <v>171</v>
      </c>
      <c r="BL225" t="s">
        <v>886</v>
      </c>
    </row>
    <row r="226" spans="1:64" x14ac:dyDescent="0.2">
      <c r="A226">
        <v>11</v>
      </c>
      <c r="B226">
        <v>3</v>
      </c>
      <c r="C226">
        <v>2025</v>
      </c>
      <c r="D226" t="s">
        <v>1244</v>
      </c>
      <c r="E226">
        <v>6</v>
      </c>
      <c r="F226" t="s">
        <v>65</v>
      </c>
      <c r="G226" t="s">
        <v>66</v>
      </c>
      <c r="H226">
        <v>20550731399</v>
      </c>
      <c r="I226" t="s">
        <v>67</v>
      </c>
      <c r="J226" t="s">
        <v>68</v>
      </c>
      <c r="K226" t="s">
        <v>69</v>
      </c>
      <c r="L226" t="s">
        <v>69</v>
      </c>
      <c r="M226" t="s">
        <v>70</v>
      </c>
      <c r="N226" t="s">
        <v>71</v>
      </c>
      <c r="O226" t="s">
        <v>71</v>
      </c>
      <c r="P226" t="s">
        <v>72</v>
      </c>
      <c r="Q226" t="s">
        <v>73</v>
      </c>
      <c r="R226" t="s">
        <v>74</v>
      </c>
      <c r="S226" t="s">
        <v>74</v>
      </c>
      <c r="T226" t="s">
        <v>75</v>
      </c>
      <c r="U226">
        <v>4016930000</v>
      </c>
      <c r="V226" t="s">
        <v>76</v>
      </c>
      <c r="W226" t="s">
        <v>1286</v>
      </c>
      <c r="X226" t="s">
        <v>1285</v>
      </c>
      <c r="Y226" t="s">
        <v>137</v>
      </c>
      <c r="Z226" t="s">
        <v>1242</v>
      </c>
      <c r="AA226" t="s">
        <v>80</v>
      </c>
      <c r="AB226" t="s">
        <v>1242</v>
      </c>
      <c r="AC226" t="s">
        <v>177</v>
      </c>
      <c r="AD226" t="s">
        <v>1285</v>
      </c>
      <c r="AE226" t="s">
        <v>80</v>
      </c>
      <c r="AG226">
        <v>349.08</v>
      </c>
      <c r="AH226">
        <v>9.3000000000000007</v>
      </c>
      <c r="AI226">
        <v>6.11</v>
      </c>
      <c r="AJ226">
        <v>364.49</v>
      </c>
      <c r="AK226">
        <v>21.87</v>
      </c>
      <c r="AL226">
        <v>61.82</v>
      </c>
      <c r="AM226">
        <v>7.73</v>
      </c>
      <c r="AN226">
        <v>0.66</v>
      </c>
      <c r="AO226">
        <v>0.78</v>
      </c>
      <c r="AP226">
        <v>5</v>
      </c>
      <c r="AQ226" t="s">
        <v>82</v>
      </c>
      <c r="AR226">
        <v>72.897999999999996</v>
      </c>
      <c r="AS226">
        <v>5</v>
      </c>
      <c r="AT226" t="s">
        <v>83</v>
      </c>
      <c r="AU226" t="s">
        <v>84</v>
      </c>
      <c r="AV226">
        <v>0</v>
      </c>
      <c r="AW226" t="s">
        <v>85</v>
      </c>
      <c r="AY226" t="s">
        <v>87</v>
      </c>
      <c r="AZ226" t="s">
        <v>88</v>
      </c>
      <c r="BA226" t="s">
        <v>89</v>
      </c>
      <c r="BC226">
        <v>6318</v>
      </c>
      <c r="BD226">
        <v>20250312</v>
      </c>
      <c r="BE226">
        <v>69.816000000000003</v>
      </c>
      <c r="BG226">
        <v>5985562015</v>
      </c>
      <c r="BH226">
        <v>20250306</v>
      </c>
      <c r="BJ226" t="s">
        <v>89</v>
      </c>
      <c r="BK226" t="s">
        <v>171</v>
      </c>
      <c r="BL226" t="s">
        <v>886</v>
      </c>
    </row>
    <row r="227" spans="1:64" x14ac:dyDescent="0.2">
      <c r="A227">
        <v>11</v>
      </c>
      <c r="B227">
        <v>3</v>
      </c>
      <c r="C227">
        <v>2025</v>
      </c>
      <c r="D227" t="s">
        <v>1244</v>
      </c>
      <c r="E227">
        <v>5</v>
      </c>
      <c r="F227" t="s">
        <v>65</v>
      </c>
      <c r="G227" t="s">
        <v>66</v>
      </c>
      <c r="H227">
        <v>20550731399</v>
      </c>
      <c r="I227" t="s">
        <v>67</v>
      </c>
      <c r="J227" t="s">
        <v>68</v>
      </c>
      <c r="K227" t="s">
        <v>69</v>
      </c>
      <c r="L227" t="s">
        <v>69</v>
      </c>
      <c r="M227" t="s">
        <v>70</v>
      </c>
      <c r="N227" t="s">
        <v>71</v>
      </c>
      <c r="O227" t="s">
        <v>71</v>
      </c>
      <c r="P227" t="s">
        <v>72</v>
      </c>
      <c r="Q227" t="s">
        <v>73</v>
      </c>
      <c r="R227" t="s">
        <v>74</v>
      </c>
      <c r="S227" t="s">
        <v>74</v>
      </c>
      <c r="T227" t="s">
        <v>75</v>
      </c>
      <c r="U227">
        <v>4016930000</v>
      </c>
      <c r="V227" t="s">
        <v>76</v>
      </c>
      <c r="W227" t="s">
        <v>1284</v>
      </c>
      <c r="X227">
        <v>920025</v>
      </c>
      <c r="Y227" t="s">
        <v>137</v>
      </c>
      <c r="Z227" t="s">
        <v>1242</v>
      </c>
      <c r="AA227" t="s">
        <v>80</v>
      </c>
      <c r="AB227" t="s">
        <v>1242</v>
      </c>
      <c r="AC227" t="s">
        <v>177</v>
      </c>
      <c r="AD227">
        <v>920025</v>
      </c>
      <c r="AE227" t="s">
        <v>80</v>
      </c>
      <c r="AG227">
        <v>268.95</v>
      </c>
      <c r="AH227">
        <v>7.17</v>
      </c>
      <c r="AI227">
        <v>4.71</v>
      </c>
      <c r="AJ227">
        <v>280.82</v>
      </c>
      <c r="AK227">
        <v>16.850000000000001</v>
      </c>
      <c r="AL227">
        <v>47.63</v>
      </c>
      <c r="AM227">
        <v>5.95</v>
      </c>
      <c r="AN227">
        <v>0.51</v>
      </c>
      <c r="AO227">
        <v>0.6</v>
      </c>
      <c r="AP227">
        <v>10</v>
      </c>
      <c r="AQ227" t="s">
        <v>82</v>
      </c>
      <c r="AR227">
        <v>28.082000000000001</v>
      </c>
      <c r="AS227">
        <v>10</v>
      </c>
      <c r="AT227" t="s">
        <v>83</v>
      </c>
      <c r="AU227" t="s">
        <v>84</v>
      </c>
      <c r="AV227">
        <v>0</v>
      </c>
      <c r="AW227" t="s">
        <v>85</v>
      </c>
      <c r="AY227" t="s">
        <v>87</v>
      </c>
      <c r="AZ227" t="s">
        <v>88</v>
      </c>
      <c r="BA227" t="s">
        <v>89</v>
      </c>
      <c r="BC227">
        <v>6318</v>
      </c>
      <c r="BD227">
        <v>20250312</v>
      </c>
      <c r="BE227">
        <v>26.895</v>
      </c>
      <c r="BG227">
        <v>5985562015</v>
      </c>
      <c r="BH227">
        <v>20250306</v>
      </c>
      <c r="BJ227" t="s">
        <v>89</v>
      </c>
      <c r="BK227" t="s">
        <v>171</v>
      </c>
      <c r="BL227" t="s">
        <v>886</v>
      </c>
    </row>
    <row r="228" spans="1:64" x14ac:dyDescent="0.2">
      <c r="A228">
        <v>11</v>
      </c>
      <c r="B228">
        <v>3</v>
      </c>
      <c r="C228">
        <v>2025</v>
      </c>
      <c r="D228" t="s">
        <v>1244</v>
      </c>
      <c r="E228">
        <v>1</v>
      </c>
      <c r="F228" t="s">
        <v>65</v>
      </c>
      <c r="G228" t="s">
        <v>66</v>
      </c>
      <c r="H228">
        <v>20550731399</v>
      </c>
      <c r="I228" t="s">
        <v>67</v>
      </c>
      <c r="J228" t="s">
        <v>68</v>
      </c>
      <c r="K228" t="s">
        <v>69</v>
      </c>
      <c r="L228" t="s">
        <v>69</v>
      </c>
      <c r="M228" t="s">
        <v>70</v>
      </c>
      <c r="N228" t="s">
        <v>71</v>
      </c>
      <c r="O228" t="s">
        <v>71</v>
      </c>
      <c r="P228" t="s">
        <v>72</v>
      </c>
      <c r="Q228" t="s">
        <v>73</v>
      </c>
      <c r="R228" t="s">
        <v>74</v>
      </c>
      <c r="S228" t="s">
        <v>74</v>
      </c>
      <c r="T228" t="s">
        <v>75</v>
      </c>
      <c r="U228">
        <v>4016930000</v>
      </c>
      <c r="V228" t="s">
        <v>76</v>
      </c>
      <c r="W228" t="s">
        <v>1283</v>
      </c>
      <c r="X228" t="s">
        <v>1102</v>
      </c>
      <c r="Y228" t="s">
        <v>137</v>
      </c>
      <c r="Z228" t="s">
        <v>1242</v>
      </c>
      <c r="AA228" t="s">
        <v>80</v>
      </c>
      <c r="AB228" t="s">
        <v>1242</v>
      </c>
      <c r="AC228" t="s">
        <v>177</v>
      </c>
      <c r="AD228" t="s">
        <v>1102</v>
      </c>
      <c r="AE228" t="s">
        <v>80</v>
      </c>
      <c r="AG228">
        <v>1995.93</v>
      </c>
      <c r="AH228">
        <v>53.19</v>
      </c>
      <c r="AI228">
        <v>34.93</v>
      </c>
      <c r="AJ228">
        <v>2084.0500000000002</v>
      </c>
      <c r="AK228">
        <v>125.04</v>
      </c>
      <c r="AL228">
        <v>353.45</v>
      </c>
      <c r="AM228">
        <v>44.18</v>
      </c>
      <c r="AN228">
        <v>3.76</v>
      </c>
      <c r="AO228">
        <v>4.4800000000000004</v>
      </c>
      <c r="AP228">
        <v>40</v>
      </c>
      <c r="AQ228" t="s">
        <v>82</v>
      </c>
      <c r="AR228">
        <v>52.100999999999999</v>
      </c>
      <c r="AS228">
        <v>40</v>
      </c>
      <c r="AT228" t="s">
        <v>83</v>
      </c>
      <c r="AU228" t="s">
        <v>84</v>
      </c>
      <c r="AV228">
        <v>2</v>
      </c>
      <c r="AW228" t="s">
        <v>85</v>
      </c>
      <c r="AY228" t="s">
        <v>87</v>
      </c>
      <c r="AZ228" t="s">
        <v>88</v>
      </c>
      <c r="BA228" t="s">
        <v>89</v>
      </c>
      <c r="BC228">
        <v>6318</v>
      </c>
      <c r="BD228">
        <v>20250312</v>
      </c>
      <c r="BE228">
        <v>49.898000000000003</v>
      </c>
      <c r="BG228">
        <v>5985562015</v>
      </c>
      <c r="BH228">
        <v>20250306</v>
      </c>
      <c r="BJ228" t="s">
        <v>89</v>
      </c>
      <c r="BK228" t="s">
        <v>171</v>
      </c>
      <c r="BL228" t="s">
        <v>886</v>
      </c>
    </row>
    <row r="229" spans="1:64" x14ac:dyDescent="0.2">
      <c r="A229">
        <v>11</v>
      </c>
      <c r="B229">
        <v>3</v>
      </c>
      <c r="C229">
        <v>2025</v>
      </c>
      <c r="D229" t="s">
        <v>1244</v>
      </c>
      <c r="E229">
        <v>2</v>
      </c>
      <c r="F229" t="s">
        <v>65</v>
      </c>
      <c r="G229" t="s">
        <v>66</v>
      </c>
      <c r="H229">
        <v>20550731399</v>
      </c>
      <c r="I229" t="s">
        <v>67</v>
      </c>
      <c r="J229" t="s">
        <v>68</v>
      </c>
      <c r="K229" t="s">
        <v>69</v>
      </c>
      <c r="L229" t="s">
        <v>69</v>
      </c>
      <c r="M229" t="s">
        <v>70</v>
      </c>
      <c r="N229" t="s">
        <v>71</v>
      </c>
      <c r="O229" t="s">
        <v>71</v>
      </c>
      <c r="P229" t="s">
        <v>72</v>
      </c>
      <c r="Q229" t="s">
        <v>73</v>
      </c>
      <c r="R229" t="s">
        <v>74</v>
      </c>
      <c r="S229" t="s">
        <v>74</v>
      </c>
      <c r="T229" t="s">
        <v>75</v>
      </c>
      <c r="U229">
        <v>4016930000</v>
      </c>
      <c r="V229" t="s">
        <v>76</v>
      </c>
      <c r="W229" t="s">
        <v>1282</v>
      </c>
      <c r="X229">
        <v>922733</v>
      </c>
      <c r="Y229" t="s">
        <v>137</v>
      </c>
      <c r="Z229" t="s">
        <v>1242</v>
      </c>
      <c r="AA229" t="s">
        <v>80</v>
      </c>
      <c r="AB229" t="s">
        <v>1242</v>
      </c>
      <c r="AC229" t="s">
        <v>177</v>
      </c>
      <c r="AD229">
        <v>922733</v>
      </c>
      <c r="AE229" t="s">
        <v>80</v>
      </c>
      <c r="AG229">
        <v>182.38</v>
      </c>
      <c r="AH229">
        <v>4.8600000000000003</v>
      </c>
      <c r="AI229">
        <v>3.19</v>
      </c>
      <c r="AJ229">
        <v>190.43</v>
      </c>
      <c r="AK229">
        <v>11.43</v>
      </c>
      <c r="AL229">
        <v>32.299999999999997</v>
      </c>
      <c r="AM229">
        <v>4.04</v>
      </c>
      <c r="AN229">
        <v>0.34</v>
      </c>
      <c r="AO229">
        <v>0.41</v>
      </c>
      <c r="AP229">
        <v>20</v>
      </c>
      <c r="AQ229" t="s">
        <v>82</v>
      </c>
      <c r="AR229">
        <v>9.5220000000000002</v>
      </c>
      <c r="AS229">
        <v>20</v>
      </c>
      <c r="AT229" t="s">
        <v>83</v>
      </c>
      <c r="AU229" t="s">
        <v>84</v>
      </c>
      <c r="AV229">
        <v>0</v>
      </c>
      <c r="AW229" t="s">
        <v>85</v>
      </c>
      <c r="AY229" t="s">
        <v>87</v>
      </c>
      <c r="AZ229" t="s">
        <v>88</v>
      </c>
      <c r="BA229" t="s">
        <v>89</v>
      </c>
      <c r="BC229">
        <v>6318</v>
      </c>
      <c r="BD229">
        <v>20250312</v>
      </c>
      <c r="BE229">
        <v>9.1189999999999998</v>
      </c>
      <c r="BG229">
        <v>5985562015</v>
      </c>
      <c r="BH229">
        <v>20250306</v>
      </c>
      <c r="BJ229" t="s">
        <v>89</v>
      </c>
      <c r="BK229" t="s">
        <v>171</v>
      </c>
      <c r="BL229" t="s">
        <v>886</v>
      </c>
    </row>
    <row r="230" spans="1:64" x14ac:dyDescent="0.2">
      <c r="A230">
        <v>26</v>
      </c>
      <c r="B230">
        <v>3</v>
      </c>
      <c r="C230">
        <v>2025</v>
      </c>
      <c r="D230" t="s">
        <v>1265</v>
      </c>
      <c r="E230">
        <v>2</v>
      </c>
      <c r="F230" t="s">
        <v>65</v>
      </c>
      <c r="G230" t="s">
        <v>66</v>
      </c>
      <c r="H230">
        <v>20550731399</v>
      </c>
      <c r="I230" t="s">
        <v>67</v>
      </c>
      <c r="J230" t="s">
        <v>68</v>
      </c>
      <c r="K230" t="s">
        <v>69</v>
      </c>
      <c r="L230" t="s">
        <v>69</v>
      </c>
      <c r="M230" t="s">
        <v>70</v>
      </c>
      <c r="N230" t="s">
        <v>71</v>
      </c>
      <c r="O230" t="s">
        <v>71</v>
      </c>
      <c r="P230" t="s">
        <v>72</v>
      </c>
      <c r="Q230" t="s">
        <v>73</v>
      </c>
      <c r="R230" t="s">
        <v>117</v>
      </c>
      <c r="S230" t="s">
        <v>74</v>
      </c>
      <c r="T230" t="s">
        <v>246</v>
      </c>
      <c r="U230">
        <v>7318159000</v>
      </c>
      <c r="V230" t="s">
        <v>252</v>
      </c>
      <c r="W230" t="s">
        <v>1281</v>
      </c>
      <c r="X230" t="s">
        <v>1280</v>
      </c>
      <c r="Y230" t="s">
        <v>1262</v>
      </c>
      <c r="Z230">
        <v>7000114075</v>
      </c>
      <c r="AA230" t="s">
        <v>147</v>
      </c>
      <c r="AB230" t="s">
        <v>1280</v>
      </c>
      <c r="AC230" t="s">
        <v>214</v>
      </c>
      <c r="AD230" t="s">
        <v>1279</v>
      </c>
      <c r="AE230" t="s">
        <v>147</v>
      </c>
      <c r="AG230">
        <v>657.29</v>
      </c>
      <c r="AH230">
        <v>13.1</v>
      </c>
      <c r="AI230">
        <v>18.07</v>
      </c>
      <c r="AJ230">
        <v>688.46</v>
      </c>
      <c r="AK230">
        <v>41.31</v>
      </c>
      <c r="AL230">
        <v>116.76</v>
      </c>
      <c r="AM230">
        <v>14.6</v>
      </c>
      <c r="AN230">
        <v>2.99</v>
      </c>
      <c r="AO230">
        <v>3.15</v>
      </c>
      <c r="AP230">
        <v>2.99</v>
      </c>
      <c r="AQ230" t="s">
        <v>251</v>
      </c>
      <c r="AR230">
        <v>230.25399999999999</v>
      </c>
      <c r="AS230">
        <v>32</v>
      </c>
      <c r="AT230" t="s">
        <v>107</v>
      </c>
      <c r="AU230" t="s">
        <v>84</v>
      </c>
      <c r="AV230">
        <v>0</v>
      </c>
      <c r="AW230" t="s">
        <v>85</v>
      </c>
      <c r="AY230" t="s">
        <v>87</v>
      </c>
      <c r="AZ230" t="s">
        <v>88</v>
      </c>
      <c r="BA230" t="s">
        <v>89</v>
      </c>
      <c r="BB230" t="s">
        <v>90</v>
      </c>
      <c r="BC230">
        <v>6329</v>
      </c>
      <c r="BD230">
        <v>20250327</v>
      </c>
      <c r="BE230">
        <v>219.82900000000001</v>
      </c>
      <c r="BG230">
        <v>4471927574</v>
      </c>
      <c r="BH230">
        <v>20250324</v>
      </c>
      <c r="BJ230" t="s">
        <v>89</v>
      </c>
      <c r="BK230" t="s">
        <v>171</v>
      </c>
      <c r="BL230" t="s">
        <v>886</v>
      </c>
    </row>
    <row r="231" spans="1:64" x14ac:dyDescent="0.2">
      <c r="A231">
        <v>26</v>
      </c>
      <c r="B231">
        <v>3</v>
      </c>
      <c r="C231">
        <v>2025</v>
      </c>
      <c r="D231" t="s">
        <v>1265</v>
      </c>
      <c r="E231">
        <v>6</v>
      </c>
      <c r="F231" t="s">
        <v>65</v>
      </c>
      <c r="G231" t="s">
        <v>66</v>
      </c>
      <c r="H231">
        <v>20550731399</v>
      </c>
      <c r="I231" t="s">
        <v>67</v>
      </c>
      <c r="J231" t="s">
        <v>68</v>
      </c>
      <c r="K231" t="s">
        <v>69</v>
      </c>
      <c r="L231" t="s">
        <v>69</v>
      </c>
      <c r="M231" t="s">
        <v>70</v>
      </c>
      <c r="N231" t="s">
        <v>71</v>
      </c>
      <c r="O231" t="s">
        <v>71</v>
      </c>
      <c r="P231" t="s">
        <v>72</v>
      </c>
      <c r="Q231" t="s">
        <v>73</v>
      </c>
      <c r="R231" t="s">
        <v>117</v>
      </c>
      <c r="S231" t="s">
        <v>74</v>
      </c>
      <c r="T231" t="s">
        <v>246</v>
      </c>
      <c r="U231">
        <v>7318220000</v>
      </c>
      <c r="V231" t="s">
        <v>247</v>
      </c>
      <c r="W231" t="s">
        <v>1278</v>
      </c>
      <c r="X231" t="s">
        <v>1277</v>
      </c>
      <c r="Y231" t="s">
        <v>1262</v>
      </c>
      <c r="Z231">
        <v>7033622000</v>
      </c>
      <c r="AA231" t="s">
        <v>147</v>
      </c>
      <c r="AB231" t="s">
        <v>1277</v>
      </c>
      <c r="AC231" t="s">
        <v>214</v>
      </c>
      <c r="AD231" t="s">
        <v>1410</v>
      </c>
      <c r="AE231" t="s">
        <v>147</v>
      </c>
      <c r="AG231">
        <v>468.92</v>
      </c>
      <c r="AH231">
        <v>9.34</v>
      </c>
      <c r="AI231">
        <v>12.89</v>
      </c>
      <c r="AJ231">
        <v>491.16</v>
      </c>
      <c r="AK231">
        <v>29.47</v>
      </c>
      <c r="AL231">
        <v>83.3</v>
      </c>
      <c r="AM231">
        <v>10.41</v>
      </c>
      <c r="AN231">
        <v>2.13</v>
      </c>
      <c r="AO231">
        <v>2.25</v>
      </c>
      <c r="AP231">
        <v>2.13</v>
      </c>
      <c r="AQ231" t="s">
        <v>251</v>
      </c>
      <c r="AR231">
        <v>230.59</v>
      </c>
      <c r="AS231">
        <v>24</v>
      </c>
      <c r="AT231" t="s">
        <v>107</v>
      </c>
      <c r="AU231" t="s">
        <v>84</v>
      </c>
      <c r="AV231">
        <v>0</v>
      </c>
      <c r="AW231" t="s">
        <v>85</v>
      </c>
      <c r="AY231" t="s">
        <v>87</v>
      </c>
      <c r="AZ231" t="s">
        <v>88</v>
      </c>
      <c r="BA231" t="s">
        <v>89</v>
      </c>
      <c r="BB231" t="s">
        <v>90</v>
      </c>
      <c r="BC231">
        <v>6329</v>
      </c>
      <c r="BD231">
        <v>20250327</v>
      </c>
      <c r="BE231">
        <v>220.15</v>
      </c>
      <c r="BG231">
        <v>4471927574</v>
      </c>
      <c r="BH231">
        <v>20250324</v>
      </c>
      <c r="BJ231" t="s">
        <v>89</v>
      </c>
      <c r="BK231" t="s">
        <v>171</v>
      </c>
      <c r="BL231" t="s">
        <v>886</v>
      </c>
    </row>
    <row r="232" spans="1:64" x14ac:dyDescent="0.2">
      <c r="A232">
        <v>26</v>
      </c>
      <c r="B232">
        <v>3</v>
      </c>
      <c r="C232">
        <v>2025</v>
      </c>
      <c r="D232" t="s">
        <v>1265</v>
      </c>
      <c r="E232">
        <v>4</v>
      </c>
      <c r="F232" t="s">
        <v>65</v>
      </c>
      <c r="G232" t="s">
        <v>66</v>
      </c>
      <c r="H232">
        <v>20550731399</v>
      </c>
      <c r="I232" t="s">
        <v>67</v>
      </c>
      <c r="J232" t="s">
        <v>68</v>
      </c>
      <c r="K232" t="s">
        <v>69</v>
      </c>
      <c r="L232" t="s">
        <v>69</v>
      </c>
      <c r="M232" t="s">
        <v>70</v>
      </c>
      <c r="N232" t="s">
        <v>71</v>
      </c>
      <c r="O232" t="s">
        <v>71</v>
      </c>
      <c r="P232" t="s">
        <v>72</v>
      </c>
      <c r="Q232" t="s">
        <v>73</v>
      </c>
      <c r="R232" t="s">
        <v>117</v>
      </c>
      <c r="S232" t="s">
        <v>74</v>
      </c>
      <c r="T232" t="s">
        <v>246</v>
      </c>
      <c r="U232">
        <v>7318160000</v>
      </c>
      <c r="V232" t="s">
        <v>275</v>
      </c>
      <c r="W232" t="s">
        <v>1276</v>
      </c>
      <c r="X232" t="s">
        <v>1275</v>
      </c>
      <c r="Y232" t="s">
        <v>1262</v>
      </c>
      <c r="Z232">
        <v>7020114000</v>
      </c>
      <c r="AA232" t="s">
        <v>147</v>
      </c>
      <c r="AB232" t="s">
        <v>1275</v>
      </c>
      <c r="AC232" t="s">
        <v>214</v>
      </c>
      <c r="AD232" t="s">
        <v>1411</v>
      </c>
      <c r="AE232" t="s">
        <v>147</v>
      </c>
      <c r="AG232">
        <v>208.41</v>
      </c>
      <c r="AH232">
        <v>4.1500000000000004</v>
      </c>
      <c r="AI232">
        <v>5.73</v>
      </c>
      <c r="AJ232">
        <v>218.29</v>
      </c>
      <c r="AK232">
        <v>13.1</v>
      </c>
      <c r="AL232">
        <v>37.020000000000003</v>
      </c>
      <c r="AM232">
        <v>4.63</v>
      </c>
      <c r="AN232">
        <v>0.95</v>
      </c>
      <c r="AO232">
        <v>1</v>
      </c>
      <c r="AP232">
        <v>0.95</v>
      </c>
      <c r="AQ232" t="s">
        <v>251</v>
      </c>
      <c r="AR232">
        <v>229.78200000000001</v>
      </c>
      <c r="AS232">
        <v>32</v>
      </c>
      <c r="AT232" t="s">
        <v>107</v>
      </c>
      <c r="AU232" t="s">
        <v>84</v>
      </c>
      <c r="AV232">
        <v>0</v>
      </c>
      <c r="AW232" t="s">
        <v>85</v>
      </c>
      <c r="AY232" t="s">
        <v>87</v>
      </c>
      <c r="AZ232" t="s">
        <v>88</v>
      </c>
      <c r="BA232" t="s">
        <v>89</v>
      </c>
      <c r="BB232" t="s">
        <v>90</v>
      </c>
      <c r="BC232">
        <v>6329</v>
      </c>
      <c r="BD232">
        <v>20250327</v>
      </c>
      <c r="BE232">
        <v>219.37899999999999</v>
      </c>
      <c r="BG232">
        <v>4471927574</v>
      </c>
      <c r="BH232">
        <v>20250324</v>
      </c>
      <c r="BJ232" t="s">
        <v>89</v>
      </c>
      <c r="BK232" t="s">
        <v>171</v>
      </c>
      <c r="BL232" t="s">
        <v>886</v>
      </c>
    </row>
    <row r="233" spans="1:64" x14ac:dyDescent="0.2">
      <c r="A233">
        <v>26</v>
      </c>
      <c r="B233">
        <v>3</v>
      </c>
      <c r="C233">
        <v>2025</v>
      </c>
      <c r="D233" t="s">
        <v>1265</v>
      </c>
      <c r="E233">
        <v>3</v>
      </c>
      <c r="F233" t="s">
        <v>65</v>
      </c>
      <c r="G233" t="s">
        <v>66</v>
      </c>
      <c r="H233">
        <v>20550731399</v>
      </c>
      <c r="I233" t="s">
        <v>67</v>
      </c>
      <c r="J233" t="s">
        <v>68</v>
      </c>
      <c r="K233" t="s">
        <v>69</v>
      </c>
      <c r="L233" t="s">
        <v>69</v>
      </c>
      <c r="M233" t="s">
        <v>70</v>
      </c>
      <c r="N233" t="s">
        <v>71</v>
      </c>
      <c r="O233" t="s">
        <v>71</v>
      </c>
      <c r="P233" t="s">
        <v>72</v>
      </c>
      <c r="Q233" t="s">
        <v>73</v>
      </c>
      <c r="R233" t="s">
        <v>117</v>
      </c>
      <c r="S233" t="s">
        <v>74</v>
      </c>
      <c r="T233" t="s">
        <v>246</v>
      </c>
      <c r="U233">
        <v>7318220000</v>
      </c>
      <c r="V233" t="s">
        <v>247</v>
      </c>
      <c r="W233" t="s">
        <v>1274</v>
      </c>
      <c r="X233" t="s">
        <v>1272</v>
      </c>
      <c r="Y233" t="s">
        <v>1273</v>
      </c>
      <c r="Z233">
        <v>7033614000</v>
      </c>
      <c r="AA233" t="s">
        <v>147</v>
      </c>
      <c r="AB233" t="s">
        <v>1272</v>
      </c>
      <c r="AC233" t="s">
        <v>214</v>
      </c>
      <c r="AD233" t="s">
        <v>1411</v>
      </c>
      <c r="AE233" t="s">
        <v>147</v>
      </c>
      <c r="AG233">
        <v>392.77</v>
      </c>
      <c r="AH233">
        <v>7.83</v>
      </c>
      <c r="AI233">
        <v>10.8</v>
      </c>
      <c r="AJ233">
        <v>411.4</v>
      </c>
      <c r="AK233">
        <v>24.68</v>
      </c>
      <c r="AL233">
        <v>69.77</v>
      </c>
      <c r="AM233">
        <v>8.7200000000000006</v>
      </c>
      <c r="AN233">
        <v>1.79</v>
      </c>
      <c r="AO233">
        <v>1.88</v>
      </c>
      <c r="AP233">
        <v>1.79</v>
      </c>
      <c r="AQ233" t="s">
        <v>251</v>
      </c>
      <c r="AR233">
        <v>229.83</v>
      </c>
      <c r="AS233">
        <v>32</v>
      </c>
      <c r="AT233" t="s">
        <v>107</v>
      </c>
      <c r="AU233" t="s">
        <v>84</v>
      </c>
      <c r="AV233">
        <v>0</v>
      </c>
      <c r="AW233" t="s">
        <v>85</v>
      </c>
      <c r="AY233" t="s">
        <v>87</v>
      </c>
      <c r="AZ233" t="s">
        <v>88</v>
      </c>
      <c r="BA233" t="s">
        <v>89</v>
      </c>
      <c r="BB233" t="s">
        <v>90</v>
      </c>
      <c r="BC233">
        <v>6329</v>
      </c>
      <c r="BD233">
        <v>20250327</v>
      </c>
      <c r="BE233">
        <v>219.42500000000001</v>
      </c>
      <c r="BG233">
        <v>4471927574</v>
      </c>
      <c r="BH233">
        <v>20250324</v>
      </c>
      <c r="BJ233" t="s">
        <v>89</v>
      </c>
      <c r="BK233" t="s">
        <v>171</v>
      </c>
      <c r="BL233" t="s">
        <v>886</v>
      </c>
    </row>
    <row r="234" spans="1:64" x14ac:dyDescent="0.2">
      <c r="A234">
        <v>26</v>
      </c>
      <c r="B234">
        <v>3</v>
      </c>
      <c r="C234">
        <v>2025</v>
      </c>
      <c r="D234" t="s">
        <v>1265</v>
      </c>
      <c r="E234">
        <v>7</v>
      </c>
      <c r="F234" t="s">
        <v>65</v>
      </c>
      <c r="G234" t="s">
        <v>66</v>
      </c>
      <c r="H234">
        <v>20550731399</v>
      </c>
      <c r="I234" t="s">
        <v>67</v>
      </c>
      <c r="J234" t="s">
        <v>68</v>
      </c>
      <c r="K234" t="s">
        <v>69</v>
      </c>
      <c r="L234" t="s">
        <v>69</v>
      </c>
      <c r="M234" t="s">
        <v>70</v>
      </c>
      <c r="N234" t="s">
        <v>71</v>
      </c>
      <c r="O234" t="s">
        <v>71</v>
      </c>
      <c r="P234" t="s">
        <v>72</v>
      </c>
      <c r="Q234" t="s">
        <v>73</v>
      </c>
      <c r="R234" t="s">
        <v>117</v>
      </c>
      <c r="S234" t="s">
        <v>74</v>
      </c>
      <c r="T234" t="s">
        <v>246</v>
      </c>
      <c r="U234">
        <v>7318159000</v>
      </c>
      <c r="V234" t="s">
        <v>252</v>
      </c>
      <c r="W234" t="s">
        <v>1271</v>
      </c>
      <c r="X234" t="s">
        <v>1270</v>
      </c>
      <c r="Y234" t="s">
        <v>1262</v>
      </c>
      <c r="Z234">
        <v>7001122070</v>
      </c>
      <c r="AA234" t="s">
        <v>147</v>
      </c>
      <c r="AB234" t="s">
        <v>1270</v>
      </c>
      <c r="AC234" t="s">
        <v>214</v>
      </c>
      <c r="AD234" t="s">
        <v>1410</v>
      </c>
      <c r="AE234" t="s">
        <v>147</v>
      </c>
      <c r="AG234">
        <v>991.94</v>
      </c>
      <c r="AH234">
        <v>19.760000000000002</v>
      </c>
      <c r="AI234">
        <v>27.28</v>
      </c>
      <c r="AJ234">
        <v>1038.98</v>
      </c>
      <c r="AK234">
        <v>62.34</v>
      </c>
      <c r="AL234">
        <v>176.21</v>
      </c>
      <c r="AM234">
        <v>22.03</v>
      </c>
      <c r="AN234">
        <v>4.5199999999999996</v>
      </c>
      <c r="AO234">
        <v>4.75</v>
      </c>
      <c r="AP234">
        <v>4.5199999999999996</v>
      </c>
      <c r="AQ234" t="s">
        <v>251</v>
      </c>
      <c r="AR234">
        <v>229.863</v>
      </c>
      <c r="AS234">
        <v>24</v>
      </c>
      <c r="AT234" t="s">
        <v>107</v>
      </c>
      <c r="AU234" t="s">
        <v>84</v>
      </c>
      <c r="AV234">
        <v>0</v>
      </c>
      <c r="AW234" t="s">
        <v>85</v>
      </c>
      <c r="AY234" t="s">
        <v>87</v>
      </c>
      <c r="AZ234" t="s">
        <v>88</v>
      </c>
      <c r="BA234" t="s">
        <v>89</v>
      </c>
      <c r="BB234" t="s">
        <v>90</v>
      </c>
      <c r="BC234">
        <v>6329</v>
      </c>
      <c r="BD234">
        <v>20250327</v>
      </c>
      <c r="BE234">
        <v>219.45599999999999</v>
      </c>
      <c r="BG234">
        <v>4471927574</v>
      </c>
      <c r="BH234">
        <v>20250324</v>
      </c>
      <c r="BJ234" t="s">
        <v>89</v>
      </c>
      <c r="BK234" t="s">
        <v>171</v>
      </c>
      <c r="BL234" t="s">
        <v>886</v>
      </c>
    </row>
    <row r="235" spans="1:64" x14ac:dyDescent="0.2">
      <c r="A235">
        <v>26</v>
      </c>
      <c r="B235">
        <v>3</v>
      </c>
      <c r="C235">
        <v>2025</v>
      </c>
      <c r="D235" t="s">
        <v>1265</v>
      </c>
      <c r="E235">
        <v>1</v>
      </c>
      <c r="F235" t="s">
        <v>65</v>
      </c>
      <c r="G235" t="s">
        <v>66</v>
      </c>
      <c r="H235">
        <v>20550731399</v>
      </c>
      <c r="I235" t="s">
        <v>67</v>
      </c>
      <c r="J235" t="s">
        <v>68</v>
      </c>
      <c r="K235" t="s">
        <v>69</v>
      </c>
      <c r="L235" t="s">
        <v>69</v>
      </c>
      <c r="M235" t="s">
        <v>70</v>
      </c>
      <c r="N235" t="s">
        <v>71</v>
      </c>
      <c r="O235" t="s">
        <v>71</v>
      </c>
      <c r="P235" t="s">
        <v>72</v>
      </c>
      <c r="Q235" t="s">
        <v>73</v>
      </c>
      <c r="R235" t="s">
        <v>117</v>
      </c>
      <c r="S235" t="s">
        <v>74</v>
      </c>
      <c r="T235" t="s">
        <v>246</v>
      </c>
      <c r="U235">
        <v>8483909000</v>
      </c>
      <c r="V235" t="s">
        <v>739</v>
      </c>
      <c r="W235" t="s">
        <v>1269</v>
      </c>
      <c r="X235" t="s">
        <v>1267</v>
      </c>
      <c r="Y235" t="s">
        <v>1268</v>
      </c>
      <c r="Z235" t="s">
        <v>273</v>
      </c>
      <c r="AA235" t="s">
        <v>147</v>
      </c>
      <c r="AB235" t="s">
        <v>1267</v>
      </c>
      <c r="AC235" t="s">
        <v>214</v>
      </c>
      <c r="AD235" t="s">
        <v>1266</v>
      </c>
      <c r="AE235" t="s">
        <v>147</v>
      </c>
      <c r="AG235">
        <v>7155</v>
      </c>
      <c r="AH235">
        <v>142.55000000000001</v>
      </c>
      <c r="AI235">
        <v>71.55</v>
      </c>
      <c r="AJ235">
        <v>7369.1</v>
      </c>
      <c r="AK235">
        <v>442.15</v>
      </c>
      <c r="AL235">
        <v>1249.8</v>
      </c>
      <c r="AM235">
        <v>156.22999999999999</v>
      </c>
      <c r="AN235">
        <v>32.57</v>
      </c>
      <c r="AO235">
        <v>34.29</v>
      </c>
      <c r="AP235">
        <v>1</v>
      </c>
      <c r="AQ235" t="s">
        <v>82</v>
      </c>
      <c r="AR235">
        <v>7369.0969999999998</v>
      </c>
      <c r="AS235">
        <v>1</v>
      </c>
      <c r="AT235" t="s">
        <v>107</v>
      </c>
      <c r="AU235" t="s">
        <v>84</v>
      </c>
      <c r="AV235">
        <v>1</v>
      </c>
      <c r="AW235" t="s">
        <v>85</v>
      </c>
      <c r="AY235" t="s">
        <v>87</v>
      </c>
      <c r="AZ235" t="s">
        <v>88</v>
      </c>
      <c r="BA235" t="s">
        <v>89</v>
      </c>
      <c r="BB235" t="s">
        <v>90</v>
      </c>
      <c r="BC235">
        <v>6329</v>
      </c>
      <c r="BD235">
        <v>20250327</v>
      </c>
      <c r="BE235">
        <v>7155</v>
      </c>
      <c r="BG235">
        <v>4471927574</v>
      </c>
      <c r="BH235">
        <v>20250324</v>
      </c>
      <c r="BJ235" t="s">
        <v>89</v>
      </c>
      <c r="BK235" t="s">
        <v>171</v>
      </c>
      <c r="BL235" t="s">
        <v>886</v>
      </c>
    </row>
    <row r="236" spans="1:64" x14ac:dyDescent="0.2">
      <c r="A236">
        <v>26</v>
      </c>
      <c r="B236">
        <v>3</v>
      </c>
      <c r="C236">
        <v>2025</v>
      </c>
      <c r="D236" t="s">
        <v>1265</v>
      </c>
      <c r="E236">
        <v>5</v>
      </c>
      <c r="F236" t="s">
        <v>65</v>
      </c>
      <c r="G236" t="s">
        <v>66</v>
      </c>
      <c r="H236">
        <v>20550731399</v>
      </c>
      <c r="I236" t="s">
        <v>67</v>
      </c>
      <c r="J236" t="s">
        <v>68</v>
      </c>
      <c r="K236" t="s">
        <v>69</v>
      </c>
      <c r="L236" t="s">
        <v>69</v>
      </c>
      <c r="M236" t="s">
        <v>70</v>
      </c>
      <c r="N236" t="s">
        <v>71</v>
      </c>
      <c r="O236" t="s">
        <v>71</v>
      </c>
      <c r="P236" t="s">
        <v>72</v>
      </c>
      <c r="Q236" t="s">
        <v>73</v>
      </c>
      <c r="R236" t="s">
        <v>117</v>
      </c>
      <c r="S236" t="s">
        <v>74</v>
      </c>
      <c r="T236" t="s">
        <v>246</v>
      </c>
      <c r="U236">
        <v>7318160000</v>
      </c>
      <c r="V236" t="s">
        <v>275</v>
      </c>
      <c r="W236" t="s">
        <v>1264</v>
      </c>
      <c r="X236" t="s">
        <v>1263</v>
      </c>
      <c r="Y236" t="s">
        <v>1262</v>
      </c>
      <c r="Z236">
        <v>7020122000</v>
      </c>
      <c r="AA236" t="s">
        <v>147</v>
      </c>
      <c r="AB236" t="s">
        <v>1261</v>
      </c>
      <c r="AC236" t="s">
        <v>214</v>
      </c>
      <c r="AD236" t="s">
        <v>1410</v>
      </c>
      <c r="AE236" t="s">
        <v>147</v>
      </c>
      <c r="AG236">
        <v>348.68</v>
      </c>
      <c r="AH236">
        <v>6.95</v>
      </c>
      <c r="AI236">
        <v>9.59</v>
      </c>
      <c r="AJ236">
        <v>365.22</v>
      </c>
      <c r="AK236">
        <v>21.91</v>
      </c>
      <c r="AL236">
        <v>61.94</v>
      </c>
      <c r="AM236">
        <v>7.74</v>
      </c>
      <c r="AN236">
        <v>1.59</v>
      </c>
      <c r="AO236">
        <v>1.67</v>
      </c>
      <c r="AP236">
        <v>1.59</v>
      </c>
      <c r="AQ236" t="s">
        <v>251</v>
      </c>
      <c r="AR236">
        <v>229.696</v>
      </c>
      <c r="AS236">
        <v>24</v>
      </c>
      <c r="AT236" t="s">
        <v>107</v>
      </c>
      <c r="AU236" t="s">
        <v>84</v>
      </c>
      <c r="AV236">
        <v>0</v>
      </c>
      <c r="AW236" t="s">
        <v>85</v>
      </c>
      <c r="AY236" t="s">
        <v>87</v>
      </c>
      <c r="AZ236" t="s">
        <v>88</v>
      </c>
      <c r="BA236" t="s">
        <v>89</v>
      </c>
      <c r="BB236" t="s">
        <v>90</v>
      </c>
      <c r="BC236">
        <v>6329</v>
      </c>
      <c r="BD236">
        <v>20250327</v>
      </c>
      <c r="BE236">
        <v>219.29599999999999</v>
      </c>
      <c r="BG236">
        <v>4471927574</v>
      </c>
      <c r="BH236">
        <v>20250324</v>
      </c>
      <c r="BJ236" t="s">
        <v>89</v>
      </c>
      <c r="BK236" t="s">
        <v>171</v>
      </c>
      <c r="BL236" t="s">
        <v>886</v>
      </c>
    </row>
    <row r="237" spans="1:64" x14ac:dyDescent="0.2">
      <c r="A237">
        <v>31</v>
      </c>
      <c r="B237">
        <v>3</v>
      </c>
      <c r="C237">
        <v>2025</v>
      </c>
      <c r="D237" t="s">
        <v>1249</v>
      </c>
      <c r="E237">
        <v>2</v>
      </c>
      <c r="F237" t="s">
        <v>65</v>
      </c>
      <c r="G237" t="s">
        <v>66</v>
      </c>
      <c r="H237">
        <v>20550731399</v>
      </c>
      <c r="I237" t="s">
        <v>67</v>
      </c>
      <c r="J237" t="s">
        <v>68</v>
      </c>
      <c r="K237" t="s">
        <v>69</v>
      </c>
      <c r="L237" t="s">
        <v>69</v>
      </c>
      <c r="M237" t="s">
        <v>70</v>
      </c>
      <c r="N237" t="s">
        <v>71</v>
      </c>
      <c r="O237" t="s">
        <v>71</v>
      </c>
      <c r="P237" t="s">
        <v>72</v>
      </c>
      <c r="Q237" t="s">
        <v>73</v>
      </c>
      <c r="R237" t="s">
        <v>228</v>
      </c>
      <c r="S237" t="s">
        <v>74</v>
      </c>
      <c r="T237" t="s">
        <v>75</v>
      </c>
      <c r="U237">
        <v>4016930000</v>
      </c>
      <c r="V237" t="s">
        <v>76</v>
      </c>
      <c r="W237" t="s">
        <v>1260</v>
      </c>
      <c r="X237" t="s">
        <v>1259</v>
      </c>
      <c r="Y237" t="s">
        <v>159</v>
      </c>
      <c r="Z237" t="s">
        <v>80</v>
      </c>
      <c r="AA237" t="s">
        <v>340</v>
      </c>
      <c r="AB237" t="s">
        <v>1259</v>
      </c>
      <c r="AC237" t="s">
        <v>1190</v>
      </c>
      <c r="AD237">
        <v>920025</v>
      </c>
      <c r="AE237" t="s">
        <v>340</v>
      </c>
      <c r="AG237">
        <v>190</v>
      </c>
      <c r="AH237">
        <v>5.78</v>
      </c>
      <c r="AI237">
        <v>3.33</v>
      </c>
      <c r="AJ237">
        <v>199.11</v>
      </c>
      <c r="AK237">
        <v>11.95</v>
      </c>
      <c r="AL237">
        <v>33.770000000000003</v>
      </c>
      <c r="AM237">
        <v>4.22</v>
      </c>
      <c r="AN237">
        <v>1.36</v>
      </c>
      <c r="AO237">
        <v>1.43</v>
      </c>
      <c r="AP237">
        <v>10</v>
      </c>
      <c r="AQ237" t="s">
        <v>82</v>
      </c>
      <c r="AR237">
        <v>19.911000000000001</v>
      </c>
      <c r="AS237">
        <v>10</v>
      </c>
      <c r="AT237" t="s">
        <v>83</v>
      </c>
      <c r="AU237" t="s">
        <v>84</v>
      </c>
      <c r="AV237">
        <v>0</v>
      </c>
      <c r="AW237" t="s">
        <v>85</v>
      </c>
      <c r="AX237" t="s">
        <v>1245</v>
      </c>
      <c r="AY237" t="s">
        <v>87</v>
      </c>
      <c r="AZ237" t="s">
        <v>88</v>
      </c>
      <c r="BA237" t="s">
        <v>89</v>
      </c>
      <c r="BC237">
        <v>9842</v>
      </c>
      <c r="BD237">
        <v>20250402</v>
      </c>
      <c r="BE237">
        <v>19</v>
      </c>
      <c r="BJ237" t="s">
        <v>89</v>
      </c>
    </row>
    <row r="238" spans="1:64" x14ac:dyDescent="0.2">
      <c r="A238">
        <v>31</v>
      </c>
      <c r="B238">
        <v>3</v>
      </c>
      <c r="C238">
        <v>2025</v>
      </c>
      <c r="D238" t="s">
        <v>1249</v>
      </c>
      <c r="E238">
        <v>1</v>
      </c>
      <c r="F238" t="s">
        <v>65</v>
      </c>
      <c r="G238" t="s">
        <v>66</v>
      </c>
      <c r="H238">
        <v>20550731399</v>
      </c>
      <c r="I238" t="s">
        <v>67</v>
      </c>
      <c r="J238" t="s">
        <v>68</v>
      </c>
      <c r="K238" t="s">
        <v>69</v>
      </c>
      <c r="L238" t="s">
        <v>69</v>
      </c>
      <c r="M238" t="s">
        <v>70</v>
      </c>
      <c r="N238" t="s">
        <v>71</v>
      </c>
      <c r="O238" t="s">
        <v>71</v>
      </c>
      <c r="P238" t="s">
        <v>72</v>
      </c>
      <c r="Q238" t="s">
        <v>73</v>
      </c>
      <c r="R238" t="s">
        <v>228</v>
      </c>
      <c r="S238" t="s">
        <v>74</v>
      </c>
      <c r="T238" t="s">
        <v>75</v>
      </c>
      <c r="U238">
        <v>4016930000</v>
      </c>
      <c r="V238" t="s">
        <v>76</v>
      </c>
      <c r="W238" t="s">
        <v>1258</v>
      </c>
      <c r="X238" t="s">
        <v>1257</v>
      </c>
      <c r="Y238" t="s">
        <v>159</v>
      </c>
      <c r="Z238" t="s">
        <v>80</v>
      </c>
      <c r="AA238" t="s">
        <v>794</v>
      </c>
      <c r="AB238" t="s">
        <v>1256</v>
      </c>
      <c r="AC238" t="s">
        <v>1190</v>
      </c>
      <c r="AD238">
        <v>920072</v>
      </c>
      <c r="AE238" t="s">
        <v>794</v>
      </c>
      <c r="AG238">
        <v>2520</v>
      </c>
      <c r="AH238">
        <v>76.67</v>
      </c>
      <c r="AI238">
        <v>44.1</v>
      </c>
      <c r="AJ238">
        <v>2640.77</v>
      </c>
      <c r="AK238">
        <v>158.44999999999999</v>
      </c>
      <c r="AL238">
        <v>447.88</v>
      </c>
      <c r="AM238">
        <v>55.98</v>
      </c>
      <c r="AN238">
        <v>18.02</v>
      </c>
      <c r="AO238">
        <v>18.920000000000002</v>
      </c>
      <c r="AP238">
        <v>90</v>
      </c>
      <c r="AQ238" t="s">
        <v>82</v>
      </c>
      <c r="AR238">
        <v>29.341999999999999</v>
      </c>
      <c r="AS238">
        <v>90</v>
      </c>
      <c r="AT238" t="s">
        <v>83</v>
      </c>
      <c r="AU238" t="s">
        <v>84</v>
      </c>
      <c r="AV238">
        <v>1</v>
      </c>
      <c r="AW238" t="s">
        <v>85</v>
      </c>
      <c r="AX238" t="s">
        <v>1245</v>
      </c>
      <c r="AY238" t="s">
        <v>87</v>
      </c>
      <c r="AZ238" t="s">
        <v>88</v>
      </c>
      <c r="BA238" t="s">
        <v>89</v>
      </c>
      <c r="BC238">
        <v>9842</v>
      </c>
      <c r="BD238">
        <v>20250402</v>
      </c>
      <c r="BE238">
        <v>28</v>
      </c>
      <c r="BJ238" t="s">
        <v>89</v>
      </c>
    </row>
    <row r="239" spans="1:64" x14ac:dyDescent="0.2">
      <c r="A239">
        <v>31</v>
      </c>
      <c r="B239">
        <v>3</v>
      </c>
      <c r="C239">
        <v>2025</v>
      </c>
      <c r="D239" t="s">
        <v>1249</v>
      </c>
      <c r="E239">
        <v>3</v>
      </c>
      <c r="F239" t="s">
        <v>65</v>
      </c>
      <c r="G239" t="s">
        <v>66</v>
      </c>
      <c r="H239">
        <v>20550731399</v>
      </c>
      <c r="I239" t="s">
        <v>67</v>
      </c>
      <c r="J239" t="s">
        <v>68</v>
      </c>
      <c r="K239" t="s">
        <v>69</v>
      </c>
      <c r="L239" t="s">
        <v>69</v>
      </c>
      <c r="M239" t="s">
        <v>70</v>
      </c>
      <c r="N239" t="s">
        <v>71</v>
      </c>
      <c r="O239" t="s">
        <v>71</v>
      </c>
      <c r="P239" t="s">
        <v>72</v>
      </c>
      <c r="Q239" t="s">
        <v>73</v>
      </c>
      <c r="R239" t="s">
        <v>228</v>
      </c>
      <c r="S239" t="s">
        <v>74</v>
      </c>
      <c r="T239" t="s">
        <v>75</v>
      </c>
      <c r="U239">
        <v>4016930000</v>
      </c>
      <c r="V239" t="s">
        <v>76</v>
      </c>
      <c r="W239" t="s">
        <v>1255</v>
      </c>
      <c r="X239" t="s">
        <v>1254</v>
      </c>
      <c r="Y239" t="s">
        <v>159</v>
      </c>
      <c r="Z239" t="s">
        <v>80</v>
      </c>
      <c r="AA239" t="s">
        <v>1252</v>
      </c>
      <c r="AB239" t="s">
        <v>1254</v>
      </c>
      <c r="AC239" t="s">
        <v>1190</v>
      </c>
      <c r="AD239" t="s">
        <v>1253</v>
      </c>
      <c r="AE239" t="s">
        <v>1252</v>
      </c>
      <c r="AG239">
        <v>310</v>
      </c>
      <c r="AH239">
        <v>9.43</v>
      </c>
      <c r="AI239">
        <v>5.42</v>
      </c>
      <c r="AJ239">
        <v>324.86</v>
      </c>
      <c r="AK239">
        <v>19.489999999999998</v>
      </c>
      <c r="AL239">
        <v>55.1</v>
      </c>
      <c r="AM239">
        <v>6.89</v>
      </c>
      <c r="AN239">
        <v>2.2200000000000002</v>
      </c>
      <c r="AO239">
        <v>2.33</v>
      </c>
      <c r="AP239">
        <v>10</v>
      </c>
      <c r="AQ239" t="s">
        <v>82</v>
      </c>
      <c r="AR239">
        <v>32.485999999999997</v>
      </c>
      <c r="AS239">
        <v>10</v>
      </c>
      <c r="AT239" t="s">
        <v>83</v>
      </c>
      <c r="AU239" t="s">
        <v>84</v>
      </c>
      <c r="AV239">
        <v>0</v>
      </c>
      <c r="AW239" t="s">
        <v>85</v>
      </c>
      <c r="AX239" t="s">
        <v>1245</v>
      </c>
      <c r="AY239" t="s">
        <v>87</v>
      </c>
      <c r="AZ239" t="s">
        <v>88</v>
      </c>
      <c r="BA239" t="s">
        <v>89</v>
      </c>
      <c r="BC239">
        <v>9842</v>
      </c>
      <c r="BD239">
        <v>20250402</v>
      </c>
      <c r="BE239">
        <v>31</v>
      </c>
      <c r="BJ239" t="s">
        <v>89</v>
      </c>
    </row>
    <row r="240" spans="1:64" x14ac:dyDescent="0.2">
      <c r="A240">
        <v>31</v>
      </c>
      <c r="B240">
        <v>3</v>
      </c>
      <c r="C240">
        <v>2025</v>
      </c>
      <c r="D240" t="s">
        <v>1249</v>
      </c>
      <c r="E240">
        <v>5</v>
      </c>
      <c r="F240" t="s">
        <v>65</v>
      </c>
      <c r="G240" t="s">
        <v>66</v>
      </c>
      <c r="H240">
        <v>20550731399</v>
      </c>
      <c r="I240" t="s">
        <v>67</v>
      </c>
      <c r="J240" t="s">
        <v>68</v>
      </c>
      <c r="K240" t="s">
        <v>69</v>
      </c>
      <c r="L240" t="s">
        <v>69</v>
      </c>
      <c r="M240" t="s">
        <v>70</v>
      </c>
      <c r="N240" t="s">
        <v>71</v>
      </c>
      <c r="O240" t="s">
        <v>71</v>
      </c>
      <c r="P240" t="s">
        <v>72</v>
      </c>
      <c r="Q240" t="s">
        <v>73</v>
      </c>
      <c r="R240" t="s">
        <v>228</v>
      </c>
      <c r="S240" t="s">
        <v>74</v>
      </c>
      <c r="T240" t="s">
        <v>75</v>
      </c>
      <c r="U240">
        <v>4016930000</v>
      </c>
      <c r="V240" t="s">
        <v>76</v>
      </c>
      <c r="W240" t="s">
        <v>1251</v>
      </c>
      <c r="X240" t="s">
        <v>1250</v>
      </c>
      <c r="Y240" t="s">
        <v>159</v>
      </c>
      <c r="Z240" t="s">
        <v>80</v>
      </c>
      <c r="AA240" t="s">
        <v>833</v>
      </c>
      <c r="AB240" t="s">
        <v>1250</v>
      </c>
      <c r="AC240" t="s">
        <v>1190</v>
      </c>
      <c r="AD240" t="s">
        <v>304</v>
      </c>
      <c r="AE240" t="s">
        <v>833</v>
      </c>
      <c r="AG240">
        <v>1840</v>
      </c>
      <c r="AH240">
        <v>55.98</v>
      </c>
      <c r="AI240">
        <v>32.200000000000003</v>
      </c>
      <c r="AJ240">
        <v>1928.18</v>
      </c>
      <c r="AK240">
        <v>115.69</v>
      </c>
      <c r="AL240">
        <v>327.02</v>
      </c>
      <c r="AM240">
        <v>40.880000000000003</v>
      </c>
      <c r="AN240">
        <v>13.16</v>
      </c>
      <c r="AO240">
        <v>13.81</v>
      </c>
      <c r="AP240">
        <v>20</v>
      </c>
      <c r="AQ240" t="s">
        <v>82</v>
      </c>
      <c r="AR240">
        <v>96.409000000000006</v>
      </c>
      <c r="AS240">
        <v>20</v>
      </c>
      <c r="AT240" t="s">
        <v>83</v>
      </c>
      <c r="AU240" t="s">
        <v>84</v>
      </c>
      <c r="AV240">
        <v>0</v>
      </c>
      <c r="AW240" t="s">
        <v>85</v>
      </c>
      <c r="AX240" t="s">
        <v>1245</v>
      </c>
      <c r="AY240" t="s">
        <v>87</v>
      </c>
      <c r="AZ240" t="s">
        <v>88</v>
      </c>
      <c r="BA240" t="s">
        <v>89</v>
      </c>
      <c r="BC240">
        <v>9842</v>
      </c>
      <c r="BD240">
        <v>20250402</v>
      </c>
      <c r="BE240">
        <v>92</v>
      </c>
      <c r="BJ240" t="s">
        <v>89</v>
      </c>
    </row>
    <row r="241" spans="1:64" x14ac:dyDescent="0.2">
      <c r="A241">
        <v>31</v>
      </c>
      <c r="B241">
        <v>3</v>
      </c>
      <c r="C241">
        <v>2025</v>
      </c>
      <c r="D241" t="s">
        <v>1249</v>
      </c>
      <c r="E241">
        <v>4</v>
      </c>
      <c r="F241" t="s">
        <v>65</v>
      </c>
      <c r="G241" t="s">
        <v>66</v>
      </c>
      <c r="H241">
        <v>20550731399</v>
      </c>
      <c r="I241" t="s">
        <v>67</v>
      </c>
      <c r="J241" t="s">
        <v>68</v>
      </c>
      <c r="K241" t="s">
        <v>69</v>
      </c>
      <c r="L241" t="s">
        <v>69</v>
      </c>
      <c r="M241" t="s">
        <v>70</v>
      </c>
      <c r="N241" t="s">
        <v>71</v>
      </c>
      <c r="O241" t="s">
        <v>71</v>
      </c>
      <c r="P241" t="s">
        <v>72</v>
      </c>
      <c r="Q241" t="s">
        <v>73</v>
      </c>
      <c r="R241" t="s">
        <v>228</v>
      </c>
      <c r="S241" t="s">
        <v>74</v>
      </c>
      <c r="T241" t="s">
        <v>75</v>
      </c>
      <c r="U241">
        <v>8412290000</v>
      </c>
      <c r="V241" t="s">
        <v>164</v>
      </c>
      <c r="W241" t="s">
        <v>1248</v>
      </c>
      <c r="X241" t="s">
        <v>1246</v>
      </c>
      <c r="Y241" t="s">
        <v>1247</v>
      </c>
      <c r="Z241" t="s">
        <v>107</v>
      </c>
      <c r="AA241" t="s">
        <v>1219</v>
      </c>
      <c r="AB241" t="s">
        <v>1246</v>
      </c>
      <c r="AC241" t="s">
        <v>1190</v>
      </c>
      <c r="AD241" t="s">
        <v>884</v>
      </c>
      <c r="AE241" t="s">
        <v>1219</v>
      </c>
      <c r="AG241">
        <v>1968</v>
      </c>
      <c r="AH241">
        <v>59.88</v>
      </c>
      <c r="AI241">
        <v>19.68</v>
      </c>
      <c r="AJ241">
        <v>2047.56</v>
      </c>
      <c r="AK241">
        <v>0</v>
      </c>
      <c r="AL241">
        <v>327.61</v>
      </c>
      <c r="AM241">
        <v>40.950000000000003</v>
      </c>
      <c r="AN241">
        <v>14.07</v>
      </c>
      <c r="AO241">
        <v>14.77</v>
      </c>
      <c r="AP241">
        <v>2</v>
      </c>
      <c r="AQ241" t="s">
        <v>82</v>
      </c>
      <c r="AR241">
        <v>1023.779</v>
      </c>
      <c r="AS241">
        <v>2</v>
      </c>
      <c r="AT241" t="s">
        <v>107</v>
      </c>
      <c r="AU241" t="s">
        <v>84</v>
      </c>
      <c r="AV241">
        <v>0</v>
      </c>
      <c r="AW241" t="s">
        <v>85</v>
      </c>
      <c r="AX241" t="s">
        <v>1245</v>
      </c>
      <c r="AY241" t="s">
        <v>87</v>
      </c>
      <c r="AZ241" t="s">
        <v>88</v>
      </c>
      <c r="BA241" t="s">
        <v>89</v>
      </c>
      <c r="BB241" t="s">
        <v>200</v>
      </c>
      <c r="BC241">
        <v>9842</v>
      </c>
      <c r="BD241">
        <v>20250402</v>
      </c>
      <c r="BE241">
        <v>984</v>
      </c>
      <c r="BG241">
        <v>9697512440</v>
      </c>
      <c r="BH241">
        <v>20250327</v>
      </c>
      <c r="BJ241" t="s">
        <v>89</v>
      </c>
      <c r="BK241" t="s">
        <v>91</v>
      </c>
    </row>
    <row r="242" spans="1:64" x14ac:dyDescent="0.2">
      <c r="A242">
        <v>11</v>
      </c>
      <c r="B242">
        <v>3</v>
      </c>
      <c r="C242">
        <v>2025</v>
      </c>
      <c r="D242" t="s">
        <v>1244</v>
      </c>
      <c r="E242">
        <v>3</v>
      </c>
      <c r="F242" t="s">
        <v>65</v>
      </c>
      <c r="G242" t="s">
        <v>66</v>
      </c>
      <c r="H242">
        <v>20550731399</v>
      </c>
      <c r="I242" t="s">
        <v>67</v>
      </c>
      <c r="J242" t="s">
        <v>68</v>
      </c>
      <c r="K242" t="s">
        <v>69</v>
      </c>
      <c r="L242" t="s">
        <v>69</v>
      </c>
      <c r="M242" t="s">
        <v>70</v>
      </c>
      <c r="N242" t="s">
        <v>71</v>
      </c>
      <c r="O242" t="s">
        <v>71</v>
      </c>
      <c r="P242" t="s">
        <v>72</v>
      </c>
      <c r="Q242" t="s">
        <v>73</v>
      </c>
      <c r="R242" t="s">
        <v>74</v>
      </c>
      <c r="S242" t="s">
        <v>74</v>
      </c>
      <c r="T242" t="s">
        <v>75</v>
      </c>
      <c r="U242">
        <v>4016930000</v>
      </c>
      <c r="V242" t="s">
        <v>76</v>
      </c>
      <c r="W242" t="s">
        <v>1243</v>
      </c>
      <c r="X242" t="s">
        <v>95</v>
      </c>
      <c r="Y242" t="s">
        <v>137</v>
      </c>
      <c r="Z242" t="s">
        <v>1242</v>
      </c>
      <c r="AA242" t="s">
        <v>80</v>
      </c>
      <c r="AB242" t="s">
        <v>1242</v>
      </c>
      <c r="AC242" t="s">
        <v>177</v>
      </c>
      <c r="AD242" t="s">
        <v>1241</v>
      </c>
      <c r="AE242" t="s">
        <v>80</v>
      </c>
      <c r="AG242">
        <v>697.95</v>
      </c>
      <c r="AH242">
        <v>18.600000000000001</v>
      </c>
      <c r="AI242">
        <v>12.21</v>
      </c>
      <c r="AJ242">
        <v>728.76</v>
      </c>
      <c r="AK242">
        <v>43.73</v>
      </c>
      <c r="AL242">
        <v>123.6</v>
      </c>
      <c r="AM242">
        <v>15.45</v>
      </c>
      <c r="AN242">
        <v>1.31</v>
      </c>
      <c r="AO242">
        <v>1.57</v>
      </c>
      <c r="AP242">
        <v>20</v>
      </c>
      <c r="AQ242" t="s">
        <v>82</v>
      </c>
      <c r="AR242">
        <v>36.438000000000002</v>
      </c>
      <c r="AS242">
        <v>20</v>
      </c>
      <c r="AT242" t="s">
        <v>83</v>
      </c>
      <c r="AU242" t="s">
        <v>84</v>
      </c>
      <c r="AV242">
        <v>0</v>
      </c>
      <c r="AW242" t="s">
        <v>85</v>
      </c>
      <c r="AY242" t="s">
        <v>87</v>
      </c>
      <c r="AZ242" t="s">
        <v>88</v>
      </c>
      <c r="BA242" t="s">
        <v>89</v>
      </c>
      <c r="BC242">
        <v>6318</v>
      </c>
      <c r="BD242">
        <v>20250312</v>
      </c>
      <c r="BE242">
        <v>34.898000000000003</v>
      </c>
      <c r="BG242">
        <v>5985562015</v>
      </c>
      <c r="BH242">
        <v>20250306</v>
      </c>
      <c r="BJ242" t="s">
        <v>89</v>
      </c>
      <c r="BK242" t="s">
        <v>171</v>
      </c>
      <c r="BL242" t="s">
        <v>886</v>
      </c>
    </row>
    <row r="243" spans="1:64" x14ac:dyDescent="0.2">
      <c r="A243">
        <v>4</v>
      </c>
      <c r="B243">
        <v>4</v>
      </c>
      <c r="C243">
        <v>2025</v>
      </c>
      <c r="D243" t="s">
        <v>1239</v>
      </c>
      <c r="E243">
        <v>1</v>
      </c>
      <c r="F243" t="s">
        <v>65</v>
      </c>
      <c r="G243" t="s">
        <v>66</v>
      </c>
      <c r="H243">
        <v>20550731399</v>
      </c>
      <c r="I243" t="s">
        <v>67</v>
      </c>
      <c r="J243" t="s">
        <v>68</v>
      </c>
      <c r="K243" t="s">
        <v>69</v>
      </c>
      <c r="L243" t="s">
        <v>69</v>
      </c>
      <c r="M243" t="s">
        <v>70</v>
      </c>
      <c r="N243" t="s">
        <v>71</v>
      </c>
      <c r="O243" t="s">
        <v>71</v>
      </c>
      <c r="P243" t="s">
        <v>72</v>
      </c>
      <c r="Q243" t="s">
        <v>73</v>
      </c>
      <c r="R243" t="s">
        <v>799</v>
      </c>
      <c r="S243" t="s">
        <v>799</v>
      </c>
      <c r="T243" t="s">
        <v>1238</v>
      </c>
      <c r="U243">
        <v>7318159000</v>
      </c>
      <c r="V243" t="s">
        <v>252</v>
      </c>
      <c r="W243" t="s">
        <v>1237</v>
      </c>
      <c r="X243" t="s">
        <v>817</v>
      </c>
      <c r="Y243" t="s">
        <v>1236</v>
      </c>
      <c r="Z243" t="s">
        <v>1240</v>
      </c>
      <c r="AB243" t="s">
        <v>1235</v>
      </c>
      <c r="AC243" t="s">
        <v>805</v>
      </c>
      <c r="AD243" t="str">
        <f>+Tabla1[[#This Row],[DESCRIPCIÓN DE MERCANCÍA 1]]</f>
        <v>05155325</v>
      </c>
      <c r="AE243" t="s">
        <v>1240</v>
      </c>
      <c r="AG243">
        <v>907.53</v>
      </c>
      <c r="AH243">
        <v>167.09</v>
      </c>
      <c r="AI243">
        <v>24.96</v>
      </c>
      <c r="AJ243">
        <v>1099.58</v>
      </c>
      <c r="AK243">
        <v>65.97</v>
      </c>
      <c r="AL243">
        <v>186.49</v>
      </c>
      <c r="AM243">
        <v>23.31</v>
      </c>
      <c r="AN243">
        <v>23.72</v>
      </c>
      <c r="AO243">
        <v>28.56</v>
      </c>
      <c r="AP243">
        <v>23.72</v>
      </c>
      <c r="AQ243" t="s">
        <v>251</v>
      </c>
      <c r="AR243">
        <v>46.356999999999999</v>
      </c>
      <c r="AS243">
        <v>2</v>
      </c>
      <c r="AT243" t="s">
        <v>290</v>
      </c>
      <c r="AU243" t="s">
        <v>84</v>
      </c>
      <c r="AV243">
        <v>1</v>
      </c>
      <c r="AW243" t="s">
        <v>85</v>
      </c>
      <c r="AY243" t="s">
        <v>108</v>
      </c>
      <c r="AZ243" t="s">
        <v>155</v>
      </c>
      <c r="BA243" t="s">
        <v>170</v>
      </c>
      <c r="BB243" t="s">
        <v>90</v>
      </c>
      <c r="BC243">
        <v>9825</v>
      </c>
      <c r="BD243">
        <v>20250407</v>
      </c>
      <c r="BE243">
        <v>38.26</v>
      </c>
      <c r="BF243">
        <v>12514657904</v>
      </c>
      <c r="BG243" t="s">
        <v>1233</v>
      </c>
      <c r="BH243">
        <v>20250403</v>
      </c>
      <c r="BJ243" t="s">
        <v>112</v>
      </c>
      <c r="BL243" t="s">
        <v>886</v>
      </c>
    </row>
    <row r="244" spans="1:64" x14ac:dyDescent="0.2">
      <c r="A244">
        <v>4</v>
      </c>
      <c r="B244">
        <v>4</v>
      </c>
      <c r="C244">
        <v>2025</v>
      </c>
      <c r="D244" t="s">
        <v>1239</v>
      </c>
      <c r="E244">
        <v>2</v>
      </c>
      <c r="F244" t="s">
        <v>65</v>
      </c>
      <c r="G244" t="s">
        <v>66</v>
      </c>
      <c r="H244">
        <v>20550731399</v>
      </c>
      <c r="I244" t="s">
        <v>67</v>
      </c>
      <c r="J244" t="s">
        <v>68</v>
      </c>
      <c r="K244" t="s">
        <v>69</v>
      </c>
      <c r="L244" t="s">
        <v>69</v>
      </c>
      <c r="M244" t="s">
        <v>70</v>
      </c>
      <c r="N244" t="s">
        <v>71</v>
      </c>
      <c r="O244" t="s">
        <v>71</v>
      </c>
      <c r="P244" t="s">
        <v>72</v>
      </c>
      <c r="Q244" t="s">
        <v>73</v>
      </c>
      <c r="R244" t="s">
        <v>799</v>
      </c>
      <c r="S244" t="s">
        <v>799</v>
      </c>
      <c r="T244" t="s">
        <v>1238</v>
      </c>
      <c r="U244">
        <v>7318159000</v>
      </c>
      <c r="V244" t="s">
        <v>252</v>
      </c>
      <c r="W244" t="s">
        <v>1237</v>
      </c>
      <c r="X244" t="s">
        <v>814</v>
      </c>
      <c r="Y244" t="s">
        <v>1236</v>
      </c>
      <c r="Z244" t="s">
        <v>1234</v>
      </c>
      <c r="AB244" t="s">
        <v>1235</v>
      </c>
      <c r="AC244" t="s">
        <v>805</v>
      </c>
      <c r="AD244" t="str">
        <f>+Tabla1[[#This Row],[DESCRIPCIÓN DE MERCANCÍA 1]]</f>
        <v>05155317</v>
      </c>
      <c r="AE244" t="s">
        <v>1234</v>
      </c>
      <c r="AG244">
        <v>2555.63</v>
      </c>
      <c r="AH244">
        <v>470.56</v>
      </c>
      <c r="AI244">
        <v>70.28</v>
      </c>
      <c r="AJ244">
        <v>3096.47</v>
      </c>
      <c r="AK244">
        <v>185.79</v>
      </c>
      <c r="AL244">
        <v>525.16</v>
      </c>
      <c r="AM244">
        <v>65.650000000000006</v>
      </c>
      <c r="AN244">
        <v>66.78</v>
      </c>
      <c r="AO244">
        <v>80.44</v>
      </c>
      <c r="AP244">
        <v>66.78</v>
      </c>
      <c r="AQ244" t="s">
        <v>251</v>
      </c>
      <c r="AR244">
        <v>46.368000000000002</v>
      </c>
      <c r="AS244">
        <v>2</v>
      </c>
      <c r="AT244" t="s">
        <v>290</v>
      </c>
      <c r="AU244" t="s">
        <v>84</v>
      </c>
      <c r="AV244">
        <v>0</v>
      </c>
      <c r="AW244" t="s">
        <v>85</v>
      </c>
      <c r="AY244" t="s">
        <v>108</v>
      </c>
      <c r="AZ244" t="s">
        <v>155</v>
      </c>
      <c r="BA244" t="s">
        <v>170</v>
      </c>
      <c r="BB244" t="s">
        <v>90</v>
      </c>
      <c r="BC244">
        <v>9825</v>
      </c>
      <c r="BD244">
        <v>20250407</v>
      </c>
      <c r="BE244">
        <v>38.268999999999998</v>
      </c>
      <c r="BF244">
        <v>12514657904</v>
      </c>
      <c r="BG244" t="s">
        <v>1233</v>
      </c>
      <c r="BH244">
        <v>20250403</v>
      </c>
      <c r="BJ244" t="s">
        <v>112</v>
      </c>
      <c r="BL244" t="s">
        <v>886</v>
      </c>
    </row>
    <row r="245" spans="1:64" x14ac:dyDescent="0.2">
      <c r="A245">
        <v>9</v>
      </c>
      <c r="B245">
        <v>4</v>
      </c>
      <c r="C245">
        <v>2025</v>
      </c>
      <c r="D245" t="s">
        <v>1232</v>
      </c>
      <c r="E245">
        <v>1</v>
      </c>
      <c r="F245" t="s">
        <v>65</v>
      </c>
      <c r="G245" t="s">
        <v>66</v>
      </c>
      <c r="H245">
        <v>20550731399</v>
      </c>
      <c r="I245" t="s">
        <v>67</v>
      </c>
      <c r="J245" t="s">
        <v>68</v>
      </c>
      <c r="K245" t="s">
        <v>69</v>
      </c>
      <c r="L245" t="s">
        <v>69</v>
      </c>
      <c r="M245" t="s">
        <v>70</v>
      </c>
      <c r="N245" t="s">
        <v>71</v>
      </c>
      <c r="O245" t="s">
        <v>71</v>
      </c>
      <c r="P245" t="s">
        <v>72</v>
      </c>
      <c r="Q245" t="s">
        <v>73</v>
      </c>
      <c r="R245" t="s">
        <v>281</v>
      </c>
      <c r="S245" t="s">
        <v>74</v>
      </c>
      <c r="T245" t="s">
        <v>246</v>
      </c>
      <c r="U245">
        <v>4016991000</v>
      </c>
      <c r="V245" t="s">
        <v>1231</v>
      </c>
      <c r="W245" t="s">
        <v>1230</v>
      </c>
      <c r="X245" t="s">
        <v>268</v>
      </c>
      <c r="Y245" t="s">
        <v>1229</v>
      </c>
      <c r="Z245" t="s">
        <v>107</v>
      </c>
      <c r="AA245" t="s">
        <v>1227</v>
      </c>
      <c r="AB245" t="s">
        <v>268</v>
      </c>
      <c r="AC245" t="s">
        <v>214</v>
      </c>
      <c r="AD245" t="s">
        <v>1228</v>
      </c>
      <c r="AE245" t="s">
        <v>1227</v>
      </c>
      <c r="AG245">
        <v>2947</v>
      </c>
      <c r="AH245">
        <v>142.57</v>
      </c>
      <c r="AI245">
        <v>51.57</v>
      </c>
      <c r="AJ245">
        <v>3141.14</v>
      </c>
      <c r="AK245">
        <v>188.47</v>
      </c>
      <c r="AL245">
        <v>532.74</v>
      </c>
      <c r="AM245">
        <v>66.59</v>
      </c>
      <c r="AN245">
        <v>14.77</v>
      </c>
      <c r="AO245">
        <v>15.51</v>
      </c>
      <c r="AP245">
        <v>1</v>
      </c>
      <c r="AQ245" t="s">
        <v>82</v>
      </c>
      <c r="AR245">
        <v>3141.143</v>
      </c>
      <c r="AS245">
        <v>1</v>
      </c>
      <c r="AT245" t="s">
        <v>107</v>
      </c>
      <c r="AU245" t="s">
        <v>84</v>
      </c>
      <c r="AV245">
        <v>1</v>
      </c>
      <c r="AW245" t="s">
        <v>85</v>
      </c>
      <c r="AY245" t="s">
        <v>87</v>
      </c>
      <c r="AZ245" t="s">
        <v>88</v>
      </c>
      <c r="BA245" t="s">
        <v>89</v>
      </c>
      <c r="BB245" t="s">
        <v>90</v>
      </c>
      <c r="BC245">
        <v>10389</v>
      </c>
      <c r="BD245">
        <v>20250411</v>
      </c>
      <c r="BE245">
        <v>2947</v>
      </c>
      <c r="BG245">
        <v>4723514622</v>
      </c>
      <c r="BH245">
        <v>20250407</v>
      </c>
      <c r="BJ245" t="s">
        <v>89</v>
      </c>
      <c r="BK245" t="s">
        <v>171</v>
      </c>
      <c r="BL245" t="s">
        <v>886</v>
      </c>
    </row>
    <row r="246" spans="1:64" x14ac:dyDescent="0.2">
      <c r="A246">
        <v>11</v>
      </c>
      <c r="B246">
        <v>4</v>
      </c>
      <c r="C246">
        <v>2025</v>
      </c>
      <c r="D246" t="s">
        <v>1213</v>
      </c>
      <c r="E246">
        <v>4</v>
      </c>
      <c r="F246" t="s">
        <v>65</v>
      </c>
      <c r="G246" t="s">
        <v>66</v>
      </c>
      <c r="H246">
        <v>20550731399</v>
      </c>
      <c r="I246" t="s">
        <v>67</v>
      </c>
      <c r="J246" t="s">
        <v>68</v>
      </c>
      <c r="K246" t="s">
        <v>69</v>
      </c>
      <c r="L246" t="s">
        <v>69</v>
      </c>
      <c r="M246" t="s">
        <v>70</v>
      </c>
      <c r="N246" t="s">
        <v>71</v>
      </c>
      <c r="O246" t="s">
        <v>71</v>
      </c>
      <c r="P246" t="s">
        <v>72</v>
      </c>
      <c r="Q246" t="s">
        <v>73</v>
      </c>
      <c r="R246" t="s">
        <v>74</v>
      </c>
      <c r="S246" t="s">
        <v>74</v>
      </c>
      <c r="T246" t="s">
        <v>163</v>
      </c>
      <c r="U246">
        <v>8412900000</v>
      </c>
      <c r="V246" t="s">
        <v>129</v>
      </c>
      <c r="W246" t="s">
        <v>1226</v>
      </c>
      <c r="X246">
        <v>312153</v>
      </c>
      <c r="Y246" t="s">
        <v>1225</v>
      </c>
      <c r="Z246" t="s">
        <v>1224</v>
      </c>
      <c r="AB246" t="s">
        <v>1224</v>
      </c>
      <c r="AC246" t="s">
        <v>792</v>
      </c>
      <c r="AD246">
        <v>312153</v>
      </c>
      <c r="AE246" t="s">
        <v>1224</v>
      </c>
      <c r="AG246">
        <v>79.349999999999994</v>
      </c>
      <c r="AH246">
        <v>2.79</v>
      </c>
      <c r="AI246">
        <v>0.79</v>
      </c>
      <c r="AJ246">
        <v>82.94</v>
      </c>
      <c r="AK246">
        <v>0</v>
      </c>
      <c r="AL246">
        <v>13.27</v>
      </c>
      <c r="AM246">
        <v>1.66</v>
      </c>
      <c r="AN246">
        <v>1.36</v>
      </c>
      <c r="AO246">
        <v>1.44</v>
      </c>
      <c r="AP246">
        <v>1</v>
      </c>
      <c r="AQ246" t="s">
        <v>82</v>
      </c>
      <c r="AR246">
        <v>82.936000000000007</v>
      </c>
      <c r="AS246">
        <v>1</v>
      </c>
      <c r="AT246" t="s">
        <v>107</v>
      </c>
      <c r="AU246" t="s">
        <v>84</v>
      </c>
      <c r="AV246">
        <v>0</v>
      </c>
      <c r="AW246" t="s">
        <v>85</v>
      </c>
      <c r="AX246" t="s">
        <v>792</v>
      </c>
      <c r="AY246" t="s">
        <v>108</v>
      </c>
      <c r="AZ246" t="s">
        <v>169</v>
      </c>
      <c r="BA246" t="s">
        <v>170</v>
      </c>
      <c r="BB246" t="s">
        <v>90</v>
      </c>
      <c r="BC246">
        <v>9850</v>
      </c>
      <c r="BD246">
        <v>20250413</v>
      </c>
      <c r="BE246">
        <v>79.349999999999994</v>
      </c>
      <c r="BG246">
        <v>425200380</v>
      </c>
      <c r="BH246">
        <v>20250409</v>
      </c>
      <c r="BJ246" t="s">
        <v>112</v>
      </c>
      <c r="BL246" t="s">
        <v>886</v>
      </c>
    </row>
    <row r="247" spans="1:64" x14ac:dyDescent="0.2">
      <c r="A247">
        <v>11</v>
      </c>
      <c r="B247">
        <v>4</v>
      </c>
      <c r="C247">
        <v>2025</v>
      </c>
      <c r="D247" t="s">
        <v>1213</v>
      </c>
      <c r="E247">
        <v>6</v>
      </c>
      <c r="F247" t="s">
        <v>65</v>
      </c>
      <c r="G247" t="s">
        <v>66</v>
      </c>
      <c r="H247">
        <v>20550731399</v>
      </c>
      <c r="I247" t="s">
        <v>67</v>
      </c>
      <c r="J247" t="s">
        <v>68</v>
      </c>
      <c r="K247" t="s">
        <v>69</v>
      </c>
      <c r="L247" t="s">
        <v>69</v>
      </c>
      <c r="M247" t="s">
        <v>70</v>
      </c>
      <c r="N247" t="s">
        <v>71</v>
      </c>
      <c r="O247" t="s">
        <v>71</v>
      </c>
      <c r="P247" t="s">
        <v>72</v>
      </c>
      <c r="Q247" t="s">
        <v>73</v>
      </c>
      <c r="R247" t="s">
        <v>74</v>
      </c>
      <c r="S247" t="s">
        <v>74</v>
      </c>
      <c r="T247" t="s">
        <v>163</v>
      </c>
      <c r="U247">
        <v>8412900000</v>
      </c>
      <c r="V247" t="s">
        <v>129</v>
      </c>
      <c r="W247" t="s">
        <v>1223</v>
      </c>
      <c r="X247" t="s">
        <v>873</v>
      </c>
      <c r="Z247" t="s">
        <v>194</v>
      </c>
      <c r="AB247" t="s">
        <v>194</v>
      </c>
      <c r="AC247" t="s">
        <v>792</v>
      </c>
      <c r="AD247" t="s">
        <v>873</v>
      </c>
      <c r="AE247" t="s">
        <v>194</v>
      </c>
      <c r="AG247">
        <v>2253.4299999999998</v>
      </c>
      <c r="AH247">
        <v>79.28</v>
      </c>
      <c r="AI247">
        <v>22.53</v>
      </c>
      <c r="AJ247">
        <v>2355.25</v>
      </c>
      <c r="AK247">
        <v>0</v>
      </c>
      <c r="AL247">
        <v>376.84</v>
      </c>
      <c r="AM247">
        <v>47.11</v>
      </c>
      <c r="AN247">
        <v>38.700000000000003</v>
      </c>
      <c r="AO247">
        <v>40.74</v>
      </c>
      <c r="AP247">
        <v>10</v>
      </c>
      <c r="AQ247" t="s">
        <v>82</v>
      </c>
      <c r="AR247">
        <v>235.52500000000001</v>
      </c>
      <c r="AS247">
        <v>10</v>
      </c>
      <c r="AT247" t="s">
        <v>107</v>
      </c>
      <c r="AU247" t="s">
        <v>84</v>
      </c>
      <c r="AV247">
        <v>0</v>
      </c>
      <c r="AW247" t="s">
        <v>85</v>
      </c>
      <c r="AX247" t="s">
        <v>792</v>
      </c>
      <c r="AY247" t="s">
        <v>108</v>
      </c>
      <c r="AZ247" t="s">
        <v>169</v>
      </c>
      <c r="BA247" t="s">
        <v>170</v>
      </c>
      <c r="BB247" t="s">
        <v>90</v>
      </c>
      <c r="BC247">
        <v>9850</v>
      </c>
      <c r="BD247">
        <v>20250413</v>
      </c>
      <c r="BE247">
        <v>225.34299999999999</v>
      </c>
      <c r="BG247">
        <v>425200380</v>
      </c>
      <c r="BH247">
        <v>20250409</v>
      </c>
      <c r="BJ247" t="s">
        <v>112</v>
      </c>
      <c r="BL247" t="s">
        <v>886</v>
      </c>
    </row>
    <row r="248" spans="1:64" x14ac:dyDescent="0.2">
      <c r="A248">
        <v>11</v>
      </c>
      <c r="B248">
        <v>4</v>
      </c>
      <c r="C248">
        <v>2025</v>
      </c>
      <c r="D248" t="s">
        <v>1213</v>
      </c>
      <c r="E248">
        <v>1</v>
      </c>
      <c r="F248" t="s">
        <v>65</v>
      </c>
      <c r="G248" t="s">
        <v>66</v>
      </c>
      <c r="H248">
        <v>20550731399</v>
      </c>
      <c r="I248" t="s">
        <v>67</v>
      </c>
      <c r="J248" t="s">
        <v>68</v>
      </c>
      <c r="K248" t="s">
        <v>69</v>
      </c>
      <c r="L248" t="s">
        <v>69</v>
      </c>
      <c r="M248" t="s">
        <v>70</v>
      </c>
      <c r="N248" t="s">
        <v>71</v>
      </c>
      <c r="O248" t="s">
        <v>71</v>
      </c>
      <c r="P248" t="s">
        <v>72</v>
      </c>
      <c r="Q248" t="s">
        <v>73</v>
      </c>
      <c r="R248" t="s">
        <v>74</v>
      </c>
      <c r="S248" t="s">
        <v>74</v>
      </c>
      <c r="T248" t="s">
        <v>163</v>
      </c>
      <c r="U248">
        <v>8413190000</v>
      </c>
      <c r="V248" t="s">
        <v>100</v>
      </c>
      <c r="W248" t="s">
        <v>1136</v>
      </c>
      <c r="X248" t="s">
        <v>1396</v>
      </c>
      <c r="Y248" t="s">
        <v>1222</v>
      </c>
      <c r="Z248" t="s">
        <v>1221</v>
      </c>
      <c r="AB248" t="s">
        <v>936</v>
      </c>
      <c r="AC248" t="s">
        <v>792</v>
      </c>
      <c r="AD248" t="str">
        <f>+Tabla1[[#This Row],[DESCRIPCIÓN DE MERCANCÍA 1]]</f>
        <v>V20</v>
      </c>
      <c r="AE248" t="s">
        <v>1221</v>
      </c>
      <c r="AG248">
        <v>710.94</v>
      </c>
      <c r="AH248">
        <v>25.01</v>
      </c>
      <c r="AI248">
        <v>7.11</v>
      </c>
      <c r="AJ248">
        <v>743.06</v>
      </c>
      <c r="AK248">
        <v>0</v>
      </c>
      <c r="AL248">
        <v>118.89</v>
      </c>
      <c r="AM248">
        <v>14.86</v>
      </c>
      <c r="AN248">
        <v>12.21</v>
      </c>
      <c r="AO248">
        <v>12.85</v>
      </c>
      <c r="AP248">
        <v>4</v>
      </c>
      <c r="AQ248" t="s">
        <v>82</v>
      </c>
      <c r="AR248">
        <v>185.76599999999999</v>
      </c>
      <c r="AS248">
        <v>4</v>
      </c>
      <c r="AT248" t="s">
        <v>107</v>
      </c>
      <c r="AU248" t="s">
        <v>84</v>
      </c>
      <c r="AV248">
        <v>1</v>
      </c>
      <c r="AW248" t="s">
        <v>85</v>
      </c>
      <c r="AX248" t="s">
        <v>792</v>
      </c>
      <c r="AY248" t="s">
        <v>108</v>
      </c>
      <c r="AZ248" t="s">
        <v>169</v>
      </c>
      <c r="BA248" t="s">
        <v>170</v>
      </c>
      <c r="BB248" t="s">
        <v>90</v>
      </c>
      <c r="BC248">
        <v>9850</v>
      </c>
      <c r="BD248">
        <v>20250413</v>
      </c>
      <c r="BE248">
        <v>177.73500000000001</v>
      </c>
      <c r="BG248">
        <v>425200380</v>
      </c>
      <c r="BH248">
        <v>20250409</v>
      </c>
      <c r="BJ248" t="s">
        <v>112</v>
      </c>
      <c r="BL248" t="s">
        <v>886</v>
      </c>
    </row>
    <row r="249" spans="1:64" x14ac:dyDescent="0.2">
      <c r="A249">
        <v>11</v>
      </c>
      <c r="B249">
        <v>4</v>
      </c>
      <c r="C249">
        <v>2025</v>
      </c>
      <c r="D249" t="s">
        <v>1213</v>
      </c>
      <c r="E249">
        <v>7</v>
      </c>
      <c r="F249" t="s">
        <v>65</v>
      </c>
      <c r="G249" t="s">
        <v>66</v>
      </c>
      <c r="H249">
        <v>20550731399</v>
      </c>
      <c r="I249" t="s">
        <v>67</v>
      </c>
      <c r="J249" t="s">
        <v>68</v>
      </c>
      <c r="K249" t="s">
        <v>69</v>
      </c>
      <c r="L249" t="s">
        <v>69</v>
      </c>
      <c r="M249" t="s">
        <v>70</v>
      </c>
      <c r="N249" t="s">
        <v>71</v>
      </c>
      <c r="O249" t="s">
        <v>71</v>
      </c>
      <c r="P249" t="s">
        <v>72</v>
      </c>
      <c r="Q249" t="s">
        <v>73</v>
      </c>
      <c r="R249" t="s">
        <v>74</v>
      </c>
      <c r="S249" t="s">
        <v>74</v>
      </c>
      <c r="T249" t="s">
        <v>163</v>
      </c>
      <c r="U249">
        <v>8412290000</v>
      </c>
      <c r="V249" t="s">
        <v>164</v>
      </c>
      <c r="W249" t="s">
        <v>1220</v>
      </c>
      <c r="X249" t="s">
        <v>884</v>
      </c>
      <c r="Y249" t="s">
        <v>1219</v>
      </c>
      <c r="Z249" t="s">
        <v>221</v>
      </c>
      <c r="AB249" t="s">
        <v>221</v>
      </c>
      <c r="AC249" t="s">
        <v>792</v>
      </c>
      <c r="AD249" t="s">
        <v>884</v>
      </c>
      <c r="AE249" t="s">
        <v>221</v>
      </c>
      <c r="AG249">
        <v>3123.07</v>
      </c>
      <c r="AH249">
        <v>109.88</v>
      </c>
      <c r="AI249">
        <v>31.23</v>
      </c>
      <c r="AJ249">
        <v>3264.18</v>
      </c>
      <c r="AK249">
        <v>0</v>
      </c>
      <c r="AL249">
        <v>522.27</v>
      </c>
      <c r="AM249">
        <v>65.28</v>
      </c>
      <c r="AN249">
        <v>53.63</v>
      </c>
      <c r="AO249">
        <v>56.45</v>
      </c>
      <c r="AP249">
        <v>3</v>
      </c>
      <c r="AQ249" t="s">
        <v>82</v>
      </c>
      <c r="AR249">
        <v>1088.059</v>
      </c>
      <c r="AS249">
        <v>3</v>
      </c>
      <c r="AT249" t="s">
        <v>107</v>
      </c>
      <c r="AU249" t="s">
        <v>84</v>
      </c>
      <c r="AV249">
        <v>0</v>
      </c>
      <c r="AW249" t="s">
        <v>85</v>
      </c>
      <c r="AX249" t="s">
        <v>792</v>
      </c>
      <c r="AY249" t="s">
        <v>108</v>
      </c>
      <c r="AZ249" t="s">
        <v>169</v>
      </c>
      <c r="BA249" t="s">
        <v>170</v>
      </c>
      <c r="BB249" t="s">
        <v>90</v>
      </c>
      <c r="BC249">
        <v>9850</v>
      </c>
      <c r="BD249">
        <v>20250413</v>
      </c>
      <c r="BE249">
        <v>1041.0229999999999</v>
      </c>
      <c r="BG249">
        <v>425200380</v>
      </c>
      <c r="BH249">
        <v>20250409</v>
      </c>
      <c r="BJ249" t="s">
        <v>112</v>
      </c>
      <c r="BL249" t="s">
        <v>886</v>
      </c>
    </row>
    <row r="250" spans="1:64" x14ac:dyDescent="0.2">
      <c r="A250">
        <v>11</v>
      </c>
      <c r="B250">
        <v>4</v>
      </c>
      <c r="C250">
        <v>2025</v>
      </c>
      <c r="D250" t="s">
        <v>1213</v>
      </c>
      <c r="E250">
        <v>3</v>
      </c>
      <c r="F250" t="s">
        <v>65</v>
      </c>
      <c r="G250" t="s">
        <v>66</v>
      </c>
      <c r="H250">
        <v>20550731399</v>
      </c>
      <c r="I250" t="s">
        <v>67</v>
      </c>
      <c r="J250" t="s">
        <v>68</v>
      </c>
      <c r="K250" t="s">
        <v>69</v>
      </c>
      <c r="L250" t="s">
        <v>69</v>
      </c>
      <c r="M250" t="s">
        <v>70</v>
      </c>
      <c r="N250" t="s">
        <v>71</v>
      </c>
      <c r="O250" t="s">
        <v>71</v>
      </c>
      <c r="P250" t="s">
        <v>72</v>
      </c>
      <c r="Q250" t="s">
        <v>73</v>
      </c>
      <c r="R250" t="s">
        <v>74</v>
      </c>
      <c r="S250" t="s">
        <v>74</v>
      </c>
      <c r="T250" t="s">
        <v>163</v>
      </c>
      <c r="U250">
        <v>8412900000</v>
      </c>
      <c r="V250" t="s">
        <v>129</v>
      </c>
      <c r="W250" t="s">
        <v>1218</v>
      </c>
      <c r="X250">
        <v>309405</v>
      </c>
      <c r="Y250" t="s">
        <v>1217</v>
      </c>
      <c r="Z250" t="s">
        <v>1210</v>
      </c>
      <c r="AB250" t="s">
        <v>1210</v>
      </c>
      <c r="AC250" t="s">
        <v>792</v>
      </c>
      <c r="AD250">
        <v>309405</v>
      </c>
      <c r="AE250" t="s">
        <v>1210</v>
      </c>
      <c r="AG250">
        <v>291.99</v>
      </c>
      <c r="AH250">
        <v>10.27</v>
      </c>
      <c r="AI250">
        <v>2.92</v>
      </c>
      <c r="AJ250">
        <v>305.18</v>
      </c>
      <c r="AK250">
        <v>0</v>
      </c>
      <c r="AL250">
        <v>48.83</v>
      </c>
      <c r="AM250">
        <v>6.1</v>
      </c>
      <c r="AN250">
        <v>5.01</v>
      </c>
      <c r="AO250">
        <v>5.28</v>
      </c>
      <c r="AP250">
        <v>3</v>
      </c>
      <c r="AQ250" t="s">
        <v>82</v>
      </c>
      <c r="AR250">
        <v>101.72799999999999</v>
      </c>
      <c r="AS250">
        <v>3</v>
      </c>
      <c r="AT250" t="s">
        <v>107</v>
      </c>
      <c r="AU250" t="s">
        <v>84</v>
      </c>
      <c r="AV250">
        <v>0</v>
      </c>
      <c r="AW250" t="s">
        <v>85</v>
      </c>
      <c r="AX250" t="s">
        <v>792</v>
      </c>
      <c r="AY250" t="s">
        <v>108</v>
      </c>
      <c r="AZ250" t="s">
        <v>169</v>
      </c>
      <c r="BA250" t="s">
        <v>170</v>
      </c>
      <c r="BB250" t="s">
        <v>90</v>
      </c>
      <c r="BC250">
        <v>9850</v>
      </c>
      <c r="BD250">
        <v>20250413</v>
      </c>
      <c r="BE250">
        <v>97.33</v>
      </c>
      <c r="BG250">
        <v>425200380</v>
      </c>
      <c r="BH250">
        <v>20250409</v>
      </c>
      <c r="BJ250" t="s">
        <v>112</v>
      </c>
      <c r="BL250" t="s">
        <v>886</v>
      </c>
    </row>
    <row r="251" spans="1:64" x14ac:dyDescent="0.2">
      <c r="A251">
        <v>11</v>
      </c>
      <c r="B251">
        <v>4</v>
      </c>
      <c r="C251">
        <v>2025</v>
      </c>
      <c r="D251" t="s">
        <v>1213</v>
      </c>
      <c r="E251">
        <v>2</v>
      </c>
      <c r="F251" t="s">
        <v>65</v>
      </c>
      <c r="G251" t="s">
        <v>66</v>
      </c>
      <c r="H251">
        <v>20550731399</v>
      </c>
      <c r="I251" t="s">
        <v>67</v>
      </c>
      <c r="J251" t="s">
        <v>68</v>
      </c>
      <c r="K251" t="s">
        <v>69</v>
      </c>
      <c r="L251" t="s">
        <v>69</v>
      </c>
      <c r="M251" t="s">
        <v>70</v>
      </c>
      <c r="N251" t="s">
        <v>71</v>
      </c>
      <c r="O251" t="s">
        <v>71</v>
      </c>
      <c r="P251" t="s">
        <v>72</v>
      </c>
      <c r="Q251" t="s">
        <v>73</v>
      </c>
      <c r="R251" t="s">
        <v>74</v>
      </c>
      <c r="S251" t="s">
        <v>74</v>
      </c>
      <c r="T251" t="s">
        <v>163</v>
      </c>
      <c r="U251">
        <v>8483500000</v>
      </c>
      <c r="V251" t="s">
        <v>328</v>
      </c>
      <c r="W251" t="s">
        <v>1216</v>
      </c>
      <c r="X251" t="s">
        <v>399</v>
      </c>
      <c r="Y251" t="s">
        <v>846</v>
      </c>
      <c r="Z251" t="s">
        <v>1214</v>
      </c>
      <c r="AB251" t="s">
        <v>1215</v>
      </c>
      <c r="AC251" t="s">
        <v>792</v>
      </c>
      <c r="AD251" t="s">
        <v>399</v>
      </c>
      <c r="AE251" t="s">
        <v>1214</v>
      </c>
      <c r="AG251">
        <v>1170.0899999999999</v>
      </c>
      <c r="AH251">
        <v>41.17</v>
      </c>
      <c r="AI251">
        <v>11.7</v>
      </c>
      <c r="AJ251">
        <v>1222.96</v>
      </c>
      <c r="AK251">
        <v>0</v>
      </c>
      <c r="AL251">
        <v>195.67</v>
      </c>
      <c r="AM251">
        <v>24.46</v>
      </c>
      <c r="AN251">
        <v>20.09</v>
      </c>
      <c r="AO251">
        <v>21.15</v>
      </c>
      <c r="AP251">
        <v>2</v>
      </c>
      <c r="AQ251" t="s">
        <v>82</v>
      </c>
      <c r="AR251">
        <v>611.48</v>
      </c>
      <c r="AS251">
        <v>2</v>
      </c>
      <c r="AT251" t="s">
        <v>107</v>
      </c>
      <c r="AU251" t="s">
        <v>84</v>
      </c>
      <c r="AV251">
        <v>0</v>
      </c>
      <c r="AW251" t="s">
        <v>85</v>
      </c>
      <c r="AX251" t="s">
        <v>792</v>
      </c>
      <c r="AY251" t="s">
        <v>108</v>
      </c>
      <c r="AZ251" t="s">
        <v>169</v>
      </c>
      <c r="BA251" t="s">
        <v>170</v>
      </c>
      <c r="BB251" t="s">
        <v>90</v>
      </c>
      <c r="BC251">
        <v>9850</v>
      </c>
      <c r="BD251">
        <v>20250413</v>
      </c>
      <c r="BE251">
        <v>585.04499999999996</v>
      </c>
      <c r="BG251">
        <v>425200380</v>
      </c>
      <c r="BH251">
        <v>20250409</v>
      </c>
      <c r="BJ251" t="s">
        <v>112</v>
      </c>
      <c r="BL251" t="s">
        <v>886</v>
      </c>
    </row>
    <row r="252" spans="1:64" x14ac:dyDescent="0.2">
      <c r="A252">
        <v>11</v>
      </c>
      <c r="B252">
        <v>4</v>
      </c>
      <c r="C252">
        <v>2025</v>
      </c>
      <c r="D252" t="s">
        <v>1213</v>
      </c>
      <c r="E252">
        <v>5</v>
      </c>
      <c r="F252" t="s">
        <v>65</v>
      </c>
      <c r="G252" t="s">
        <v>66</v>
      </c>
      <c r="H252">
        <v>20550731399</v>
      </c>
      <c r="I252" t="s">
        <v>67</v>
      </c>
      <c r="J252" t="s">
        <v>68</v>
      </c>
      <c r="K252" t="s">
        <v>69</v>
      </c>
      <c r="L252" t="s">
        <v>69</v>
      </c>
      <c r="M252" t="s">
        <v>70</v>
      </c>
      <c r="N252" t="s">
        <v>71</v>
      </c>
      <c r="O252" t="s">
        <v>71</v>
      </c>
      <c r="P252" t="s">
        <v>72</v>
      </c>
      <c r="Q252" t="s">
        <v>73</v>
      </c>
      <c r="R252" t="s">
        <v>74</v>
      </c>
      <c r="S252" t="s">
        <v>74</v>
      </c>
      <c r="T252" t="s">
        <v>163</v>
      </c>
      <c r="U252">
        <v>8412900000</v>
      </c>
      <c r="V252" t="s">
        <v>129</v>
      </c>
      <c r="W252" t="s">
        <v>1212</v>
      </c>
      <c r="X252">
        <v>289084</v>
      </c>
      <c r="Y252" t="s">
        <v>1211</v>
      </c>
      <c r="Z252" t="s">
        <v>1210</v>
      </c>
      <c r="AB252" t="s">
        <v>1210</v>
      </c>
      <c r="AC252" t="s">
        <v>792</v>
      </c>
      <c r="AD252">
        <v>289084</v>
      </c>
      <c r="AE252" t="s">
        <v>1210</v>
      </c>
      <c r="AG252">
        <v>613.61</v>
      </c>
      <c r="AH252">
        <v>21.59</v>
      </c>
      <c r="AI252">
        <v>6.14</v>
      </c>
      <c r="AJ252">
        <v>641.34</v>
      </c>
      <c r="AK252">
        <v>0</v>
      </c>
      <c r="AL252">
        <v>102.61</v>
      </c>
      <c r="AM252">
        <v>12.83</v>
      </c>
      <c r="AN252">
        <v>10.54</v>
      </c>
      <c r="AO252">
        <v>11.09</v>
      </c>
      <c r="AP252">
        <v>5</v>
      </c>
      <c r="AQ252" t="s">
        <v>82</v>
      </c>
      <c r="AR252">
        <v>128.267</v>
      </c>
      <c r="AS252">
        <v>5</v>
      </c>
      <c r="AT252" t="s">
        <v>107</v>
      </c>
      <c r="AU252" t="s">
        <v>84</v>
      </c>
      <c r="AV252">
        <v>0</v>
      </c>
      <c r="AW252" t="s">
        <v>85</v>
      </c>
      <c r="AX252" t="s">
        <v>792</v>
      </c>
      <c r="AY252" t="s">
        <v>108</v>
      </c>
      <c r="AZ252" t="s">
        <v>169</v>
      </c>
      <c r="BA252" t="s">
        <v>170</v>
      </c>
      <c r="BB252" t="s">
        <v>90</v>
      </c>
      <c r="BC252">
        <v>9850</v>
      </c>
      <c r="BD252">
        <v>20250413</v>
      </c>
      <c r="BE252">
        <v>122.72199999999999</v>
      </c>
      <c r="BG252">
        <v>425200380</v>
      </c>
      <c r="BH252">
        <v>20250409</v>
      </c>
      <c r="BJ252" t="s">
        <v>112</v>
      </c>
      <c r="BL252" t="s">
        <v>886</v>
      </c>
    </row>
    <row r="253" spans="1:64" x14ac:dyDescent="0.2">
      <c r="A253">
        <v>6</v>
      </c>
      <c r="B253">
        <v>5</v>
      </c>
      <c r="C253">
        <v>2025</v>
      </c>
      <c r="D253">
        <v>185313</v>
      </c>
      <c r="E253">
        <v>1</v>
      </c>
      <c r="F253" t="s">
        <v>279</v>
      </c>
      <c r="G253" t="s">
        <v>66</v>
      </c>
      <c r="H253">
        <v>20550731399</v>
      </c>
      <c r="I253" t="s">
        <v>67</v>
      </c>
      <c r="J253" t="s">
        <v>68</v>
      </c>
      <c r="K253" t="s">
        <v>69</v>
      </c>
      <c r="L253" t="s">
        <v>69</v>
      </c>
      <c r="M253" t="s">
        <v>70</v>
      </c>
      <c r="N253" t="s">
        <v>71</v>
      </c>
      <c r="O253" t="s">
        <v>71</v>
      </c>
      <c r="P253" t="s">
        <v>280</v>
      </c>
      <c r="Q253" t="s">
        <v>73</v>
      </c>
      <c r="R253" t="s">
        <v>74</v>
      </c>
      <c r="S253" t="s">
        <v>98</v>
      </c>
      <c r="T253" t="s">
        <v>770</v>
      </c>
      <c r="U253">
        <v>8412290000</v>
      </c>
      <c r="V253" t="s">
        <v>164</v>
      </c>
      <c r="W253" t="s">
        <v>1209</v>
      </c>
      <c r="X253" t="s">
        <v>1207</v>
      </c>
      <c r="Y253" t="s">
        <v>1208</v>
      </c>
      <c r="Z253" t="s">
        <v>221</v>
      </c>
      <c r="AB253" t="s">
        <v>221</v>
      </c>
      <c r="AC253" t="s">
        <v>763</v>
      </c>
      <c r="AD253" t="s">
        <v>1207</v>
      </c>
      <c r="AE253" t="s">
        <v>221</v>
      </c>
      <c r="AG253">
        <v>1427.15</v>
      </c>
      <c r="AH253">
        <v>8.14</v>
      </c>
      <c r="AI253">
        <v>14.27</v>
      </c>
      <c r="AJ253">
        <v>1449.56</v>
      </c>
      <c r="AK253">
        <v>0</v>
      </c>
      <c r="AL253">
        <v>231.93</v>
      </c>
      <c r="AM253">
        <v>28.99</v>
      </c>
      <c r="AN253">
        <v>32.03</v>
      </c>
      <c r="AO253">
        <v>33.72</v>
      </c>
      <c r="AP253">
        <v>2</v>
      </c>
      <c r="AQ253" t="s">
        <v>82</v>
      </c>
      <c r="AR253">
        <v>724.779</v>
      </c>
      <c r="AS253">
        <v>2</v>
      </c>
      <c r="AT253" t="s">
        <v>107</v>
      </c>
      <c r="AU253" t="s">
        <v>84</v>
      </c>
      <c r="AV253">
        <v>5</v>
      </c>
      <c r="AW253" t="s">
        <v>85</v>
      </c>
      <c r="AX253" t="s">
        <v>390</v>
      </c>
      <c r="AY253" t="s">
        <v>108</v>
      </c>
      <c r="AZ253" t="s">
        <v>777</v>
      </c>
      <c r="BA253" t="s">
        <v>391</v>
      </c>
      <c r="BB253" t="s">
        <v>90</v>
      </c>
      <c r="BC253">
        <v>1029</v>
      </c>
      <c r="BD253">
        <v>20250509</v>
      </c>
      <c r="BE253">
        <v>713.57500000000005</v>
      </c>
      <c r="BF253" t="s">
        <v>1157</v>
      </c>
      <c r="BG253" t="s">
        <v>1156</v>
      </c>
      <c r="BH253">
        <v>20250429</v>
      </c>
      <c r="BI253" t="s">
        <v>1155</v>
      </c>
      <c r="BJ253" t="s">
        <v>112</v>
      </c>
      <c r="BL253" t="s">
        <v>886</v>
      </c>
    </row>
    <row r="254" spans="1:64" x14ac:dyDescent="0.2">
      <c r="A254">
        <v>6</v>
      </c>
      <c r="B254">
        <v>5</v>
      </c>
      <c r="C254">
        <v>2025</v>
      </c>
      <c r="D254">
        <v>185313</v>
      </c>
      <c r="E254">
        <v>4</v>
      </c>
      <c r="F254" t="s">
        <v>279</v>
      </c>
      <c r="G254" t="s">
        <v>66</v>
      </c>
      <c r="H254">
        <v>20550731399</v>
      </c>
      <c r="I254" t="s">
        <v>67</v>
      </c>
      <c r="J254" t="s">
        <v>68</v>
      </c>
      <c r="K254" t="s">
        <v>69</v>
      </c>
      <c r="L254" t="s">
        <v>69</v>
      </c>
      <c r="M254" t="s">
        <v>70</v>
      </c>
      <c r="N254" t="s">
        <v>71</v>
      </c>
      <c r="O254" t="s">
        <v>71</v>
      </c>
      <c r="P254" t="s">
        <v>280</v>
      </c>
      <c r="Q254" t="s">
        <v>73</v>
      </c>
      <c r="R254" t="s">
        <v>74</v>
      </c>
      <c r="S254" t="s">
        <v>98</v>
      </c>
      <c r="T254" t="s">
        <v>770</v>
      </c>
      <c r="U254">
        <v>8412290000</v>
      </c>
      <c r="V254" t="s">
        <v>164</v>
      </c>
      <c r="W254" t="s">
        <v>1206</v>
      </c>
      <c r="X254" t="s">
        <v>192</v>
      </c>
      <c r="Y254" t="s">
        <v>756</v>
      </c>
      <c r="Z254" t="s">
        <v>1205</v>
      </c>
      <c r="AB254" t="s">
        <v>79</v>
      </c>
      <c r="AC254" t="s">
        <v>763</v>
      </c>
      <c r="AD254" t="str">
        <f>+Tabla1[[#This Row],[DESCRIPCIÓN DE MERCANCÍA 2]]</f>
        <v>61258-000</v>
      </c>
      <c r="AE254" t="s">
        <v>1205</v>
      </c>
      <c r="AG254">
        <v>450.08</v>
      </c>
      <c r="AH254">
        <v>2.57</v>
      </c>
      <c r="AI254">
        <v>4.5</v>
      </c>
      <c r="AJ254">
        <v>457.15</v>
      </c>
      <c r="AK254">
        <v>0</v>
      </c>
      <c r="AL254">
        <v>73.14</v>
      </c>
      <c r="AM254">
        <v>9.14</v>
      </c>
      <c r="AN254">
        <v>10.1</v>
      </c>
      <c r="AO254">
        <v>10.63</v>
      </c>
      <c r="AP254">
        <v>12</v>
      </c>
      <c r="AQ254" t="s">
        <v>82</v>
      </c>
      <c r="AR254">
        <v>38.095999999999997</v>
      </c>
      <c r="AS254">
        <v>12</v>
      </c>
      <c r="AT254" t="s">
        <v>107</v>
      </c>
      <c r="AU254" t="s">
        <v>84</v>
      </c>
      <c r="AV254">
        <v>0</v>
      </c>
      <c r="AW254" t="s">
        <v>85</v>
      </c>
      <c r="AX254" t="s">
        <v>390</v>
      </c>
      <c r="AY254" t="s">
        <v>108</v>
      </c>
      <c r="AZ254" t="s">
        <v>777</v>
      </c>
      <c r="BA254" t="s">
        <v>391</v>
      </c>
      <c r="BB254" t="s">
        <v>90</v>
      </c>
      <c r="BC254">
        <v>1029</v>
      </c>
      <c r="BD254">
        <v>20250509</v>
      </c>
      <c r="BE254">
        <v>37.506999999999998</v>
      </c>
      <c r="BF254" t="s">
        <v>1157</v>
      </c>
      <c r="BG254" t="s">
        <v>1156</v>
      </c>
      <c r="BH254">
        <v>20250429</v>
      </c>
      <c r="BI254" t="s">
        <v>1155</v>
      </c>
      <c r="BJ254" t="s">
        <v>112</v>
      </c>
      <c r="BL254" t="s">
        <v>886</v>
      </c>
    </row>
    <row r="255" spans="1:64" x14ac:dyDescent="0.2">
      <c r="A255">
        <v>13</v>
      </c>
      <c r="B255">
        <v>5</v>
      </c>
      <c r="C255">
        <v>2025</v>
      </c>
      <c r="D255">
        <v>196779</v>
      </c>
      <c r="E255">
        <v>1</v>
      </c>
      <c r="F255" t="s">
        <v>279</v>
      </c>
      <c r="G255" t="s">
        <v>66</v>
      </c>
      <c r="H255">
        <v>20550731399</v>
      </c>
      <c r="I255" t="s">
        <v>67</v>
      </c>
      <c r="J255" t="s">
        <v>68</v>
      </c>
      <c r="K255" t="s">
        <v>69</v>
      </c>
      <c r="L255" t="s">
        <v>69</v>
      </c>
      <c r="M255" t="s">
        <v>70</v>
      </c>
      <c r="N255" t="s">
        <v>71</v>
      </c>
      <c r="O255" t="s">
        <v>71</v>
      </c>
      <c r="P255" t="s">
        <v>280</v>
      </c>
      <c r="Q255" t="s">
        <v>73</v>
      </c>
      <c r="R255" t="s">
        <v>228</v>
      </c>
      <c r="S255" t="s">
        <v>1154</v>
      </c>
      <c r="T255" t="s">
        <v>1153</v>
      </c>
      <c r="U255">
        <v>8412290000</v>
      </c>
      <c r="V255" t="s">
        <v>164</v>
      </c>
      <c r="W255" t="s">
        <v>1204</v>
      </c>
      <c r="X255" t="s">
        <v>1203</v>
      </c>
      <c r="Y255" t="s">
        <v>1150</v>
      </c>
      <c r="Z255" t="s">
        <v>167</v>
      </c>
      <c r="AB255" t="s">
        <v>167</v>
      </c>
      <c r="AC255" t="s">
        <v>1150</v>
      </c>
      <c r="AD255" t="s">
        <v>1202</v>
      </c>
      <c r="AE255" t="s">
        <v>167</v>
      </c>
      <c r="AG255">
        <v>1401.78</v>
      </c>
      <c r="AH255">
        <v>22.94</v>
      </c>
      <c r="AI255">
        <v>14.02</v>
      </c>
      <c r="AJ255">
        <v>1438.74</v>
      </c>
      <c r="AK255">
        <v>0</v>
      </c>
      <c r="AL255">
        <v>230.2</v>
      </c>
      <c r="AM255">
        <v>28.77</v>
      </c>
      <c r="AN255">
        <v>127.13</v>
      </c>
      <c r="AO255">
        <v>134.21</v>
      </c>
      <c r="AP255">
        <v>1</v>
      </c>
      <c r="AQ255" t="s">
        <v>82</v>
      </c>
      <c r="AR255">
        <v>1438.739</v>
      </c>
      <c r="AS255">
        <v>1</v>
      </c>
      <c r="AT255" t="s">
        <v>107</v>
      </c>
      <c r="AU255" t="s">
        <v>84</v>
      </c>
      <c r="AV255">
        <v>1</v>
      </c>
      <c r="AW255" t="s">
        <v>85</v>
      </c>
      <c r="AY255" t="s">
        <v>108</v>
      </c>
      <c r="AZ255" t="s">
        <v>1095</v>
      </c>
      <c r="BA255" t="s">
        <v>323</v>
      </c>
      <c r="BB255" t="s">
        <v>90</v>
      </c>
      <c r="BC255">
        <v>1105</v>
      </c>
      <c r="BD255">
        <v>20250516</v>
      </c>
      <c r="BE255">
        <v>1401.78</v>
      </c>
      <c r="BF255" t="s">
        <v>1148</v>
      </c>
      <c r="BG255" t="s">
        <v>1147</v>
      </c>
      <c r="BH255">
        <v>20250509</v>
      </c>
      <c r="BI255" t="s">
        <v>1146</v>
      </c>
      <c r="BJ255" t="s">
        <v>379</v>
      </c>
      <c r="BL255" t="s">
        <v>886</v>
      </c>
    </row>
    <row r="256" spans="1:64" x14ac:dyDescent="0.2">
      <c r="A256">
        <v>13</v>
      </c>
      <c r="B256">
        <v>5</v>
      </c>
      <c r="C256">
        <v>2025</v>
      </c>
      <c r="D256" t="s">
        <v>1201</v>
      </c>
      <c r="E256">
        <v>1</v>
      </c>
      <c r="F256" t="s">
        <v>65</v>
      </c>
      <c r="G256" t="s">
        <v>66</v>
      </c>
      <c r="H256">
        <v>20550731399</v>
      </c>
      <c r="I256" t="s">
        <v>67</v>
      </c>
      <c r="J256" t="s">
        <v>68</v>
      </c>
      <c r="K256" t="s">
        <v>69</v>
      </c>
      <c r="L256" t="s">
        <v>69</v>
      </c>
      <c r="M256" t="s">
        <v>70</v>
      </c>
      <c r="N256" t="s">
        <v>71</v>
      </c>
      <c r="O256" t="s">
        <v>71</v>
      </c>
      <c r="P256" t="s">
        <v>72</v>
      </c>
      <c r="Q256" t="s">
        <v>73</v>
      </c>
      <c r="R256" t="s">
        <v>117</v>
      </c>
      <c r="S256" t="s">
        <v>74</v>
      </c>
      <c r="T256" t="s">
        <v>406</v>
      </c>
      <c r="U256">
        <v>8483500000</v>
      </c>
      <c r="V256" t="s">
        <v>328</v>
      </c>
      <c r="W256" t="s">
        <v>1200</v>
      </c>
      <c r="X256" t="s">
        <v>1199</v>
      </c>
      <c r="Y256" t="s">
        <v>1198</v>
      </c>
      <c r="Z256" t="s">
        <v>268</v>
      </c>
      <c r="AA256" t="s">
        <v>987</v>
      </c>
      <c r="AB256" t="s">
        <v>268</v>
      </c>
      <c r="AC256" t="s">
        <v>214</v>
      </c>
      <c r="AD256" t="s">
        <v>1197</v>
      </c>
      <c r="AE256" t="s">
        <v>268</v>
      </c>
      <c r="AG256">
        <v>4130.2</v>
      </c>
      <c r="AH256">
        <v>343.45</v>
      </c>
      <c r="AI256">
        <v>41.3</v>
      </c>
      <c r="AJ256">
        <v>4514.95</v>
      </c>
      <c r="AK256">
        <v>0</v>
      </c>
      <c r="AL256">
        <v>712.3</v>
      </c>
      <c r="AM256">
        <v>89.04</v>
      </c>
      <c r="AN256">
        <v>32.299999999999997</v>
      </c>
      <c r="AO256">
        <v>33.5</v>
      </c>
      <c r="AP256">
        <v>1</v>
      </c>
      <c r="AQ256" t="s">
        <v>82</v>
      </c>
      <c r="AR256">
        <v>4514.9530000000004</v>
      </c>
      <c r="AS256">
        <v>1</v>
      </c>
      <c r="AT256" t="s">
        <v>107</v>
      </c>
      <c r="AU256" t="s">
        <v>84</v>
      </c>
      <c r="AV256">
        <v>1</v>
      </c>
      <c r="AW256" t="s">
        <v>85</v>
      </c>
      <c r="AX256" t="s">
        <v>215</v>
      </c>
      <c r="AY256" t="s">
        <v>108</v>
      </c>
      <c r="AZ256" t="s">
        <v>493</v>
      </c>
      <c r="BA256" t="s">
        <v>170</v>
      </c>
      <c r="BB256" t="s">
        <v>90</v>
      </c>
      <c r="BC256">
        <v>13605</v>
      </c>
      <c r="BD256">
        <v>20250515</v>
      </c>
      <c r="BE256">
        <v>4130.2</v>
      </c>
      <c r="BF256" t="s">
        <v>1196</v>
      </c>
      <c r="BG256" t="s">
        <v>1195</v>
      </c>
      <c r="BH256">
        <v>20250512</v>
      </c>
      <c r="BJ256" t="s">
        <v>112</v>
      </c>
      <c r="BK256" t="s">
        <v>171</v>
      </c>
      <c r="BL256" t="s">
        <v>886</v>
      </c>
    </row>
    <row r="257" spans="1:64" x14ac:dyDescent="0.2">
      <c r="A257">
        <v>14</v>
      </c>
      <c r="B257">
        <v>5</v>
      </c>
      <c r="C257">
        <v>2025</v>
      </c>
      <c r="D257" t="s">
        <v>1194</v>
      </c>
      <c r="E257">
        <v>1</v>
      </c>
      <c r="F257" t="s">
        <v>65</v>
      </c>
      <c r="G257" t="s">
        <v>66</v>
      </c>
      <c r="H257">
        <v>20550731399</v>
      </c>
      <c r="I257" t="s">
        <v>67</v>
      </c>
      <c r="J257" t="s">
        <v>68</v>
      </c>
      <c r="K257" t="s">
        <v>69</v>
      </c>
      <c r="L257" t="s">
        <v>69</v>
      </c>
      <c r="M257" t="s">
        <v>70</v>
      </c>
      <c r="N257" t="s">
        <v>71</v>
      </c>
      <c r="O257" t="s">
        <v>71</v>
      </c>
      <c r="P257" t="s">
        <v>72</v>
      </c>
      <c r="Q257" t="s">
        <v>73</v>
      </c>
      <c r="R257" t="s">
        <v>228</v>
      </c>
      <c r="S257" t="s">
        <v>74</v>
      </c>
      <c r="T257" t="s">
        <v>1193</v>
      </c>
      <c r="U257">
        <v>8413500000</v>
      </c>
      <c r="V257" t="s">
        <v>854</v>
      </c>
      <c r="W257" t="s">
        <v>1192</v>
      </c>
      <c r="X257" t="s">
        <v>1189</v>
      </c>
      <c r="Y257" t="s">
        <v>1191</v>
      </c>
      <c r="Z257" t="s">
        <v>176</v>
      </c>
      <c r="AA257" t="s">
        <v>107</v>
      </c>
      <c r="AB257" t="s">
        <v>176</v>
      </c>
      <c r="AC257" t="s">
        <v>1190</v>
      </c>
      <c r="AD257" t="s">
        <v>1189</v>
      </c>
      <c r="AE257" t="s">
        <v>107</v>
      </c>
      <c r="AG257">
        <v>2286</v>
      </c>
      <c r="AH257">
        <v>203.67</v>
      </c>
      <c r="AI257">
        <v>22.86</v>
      </c>
      <c r="AJ257">
        <v>2512.5300000000002</v>
      </c>
      <c r="AK257">
        <v>0</v>
      </c>
      <c r="AL257">
        <v>402</v>
      </c>
      <c r="AM257">
        <v>50.25</v>
      </c>
      <c r="AN257">
        <v>115</v>
      </c>
      <c r="AO257">
        <v>117.03</v>
      </c>
      <c r="AP257">
        <v>2</v>
      </c>
      <c r="AQ257" t="s">
        <v>82</v>
      </c>
      <c r="AR257">
        <v>1256.2650000000001</v>
      </c>
      <c r="AS257">
        <v>2</v>
      </c>
      <c r="AT257" t="s">
        <v>107</v>
      </c>
      <c r="AU257" t="s">
        <v>84</v>
      </c>
      <c r="AV257">
        <v>1</v>
      </c>
      <c r="AW257" t="s">
        <v>85</v>
      </c>
      <c r="AX257" t="s">
        <v>235</v>
      </c>
      <c r="AY257" t="s">
        <v>87</v>
      </c>
      <c r="AZ257" t="s">
        <v>88</v>
      </c>
      <c r="BA257" t="s">
        <v>89</v>
      </c>
      <c r="BB257" t="s">
        <v>236</v>
      </c>
      <c r="BC257">
        <v>13249</v>
      </c>
      <c r="BD257">
        <v>20250516</v>
      </c>
      <c r="BE257">
        <v>1143</v>
      </c>
      <c r="BG257">
        <v>4634316573</v>
      </c>
      <c r="BH257">
        <v>20250512</v>
      </c>
      <c r="BJ257" t="s">
        <v>89</v>
      </c>
      <c r="BL257" t="s">
        <v>886</v>
      </c>
    </row>
    <row r="258" spans="1:64" x14ac:dyDescent="0.2">
      <c r="A258">
        <v>6</v>
      </c>
      <c r="B258">
        <v>5</v>
      </c>
      <c r="C258">
        <v>2025</v>
      </c>
      <c r="D258">
        <v>185313</v>
      </c>
      <c r="E258">
        <v>3</v>
      </c>
      <c r="F258" t="s">
        <v>279</v>
      </c>
      <c r="G258" t="s">
        <v>66</v>
      </c>
      <c r="H258">
        <v>20550731399</v>
      </c>
      <c r="I258" t="s">
        <v>67</v>
      </c>
      <c r="J258" t="s">
        <v>68</v>
      </c>
      <c r="K258" t="s">
        <v>69</v>
      </c>
      <c r="L258" t="s">
        <v>69</v>
      </c>
      <c r="M258" t="s">
        <v>70</v>
      </c>
      <c r="N258" t="s">
        <v>71</v>
      </c>
      <c r="O258" t="s">
        <v>71</v>
      </c>
      <c r="P258" t="s">
        <v>280</v>
      </c>
      <c r="Q258" t="s">
        <v>73</v>
      </c>
      <c r="R258" t="s">
        <v>98</v>
      </c>
      <c r="S258" t="s">
        <v>98</v>
      </c>
      <c r="T258" t="s">
        <v>770</v>
      </c>
      <c r="U258">
        <v>8412900000</v>
      </c>
      <c r="V258" t="s">
        <v>129</v>
      </c>
      <c r="W258" t="s">
        <v>1188</v>
      </c>
      <c r="X258" t="s">
        <v>1187</v>
      </c>
      <c r="Z258" t="s">
        <v>1186</v>
      </c>
      <c r="AB258" t="s">
        <v>194</v>
      </c>
      <c r="AC258" t="s">
        <v>763</v>
      </c>
      <c r="AD258" t="str">
        <f>+Tabla1[[#This Row],[DESCRIPCIÓN DE MERCANCÍA 1]]</f>
        <v>1SA0010</v>
      </c>
      <c r="AE258" t="s">
        <v>1186</v>
      </c>
      <c r="AG258">
        <v>6298.62</v>
      </c>
      <c r="AH258">
        <v>35.909999999999997</v>
      </c>
      <c r="AI258">
        <v>62.99</v>
      </c>
      <c r="AJ258">
        <v>6397.51</v>
      </c>
      <c r="AK258">
        <v>0</v>
      </c>
      <c r="AL258">
        <v>1023.6</v>
      </c>
      <c r="AM258">
        <v>127.95</v>
      </c>
      <c r="AN258">
        <v>141.36000000000001</v>
      </c>
      <c r="AO258">
        <v>148.80000000000001</v>
      </c>
      <c r="AP258">
        <v>8</v>
      </c>
      <c r="AQ258" t="s">
        <v>82</v>
      </c>
      <c r="AR258">
        <v>799.68899999999996</v>
      </c>
      <c r="AS258">
        <v>8</v>
      </c>
      <c r="AT258" t="s">
        <v>107</v>
      </c>
      <c r="AU258" t="s">
        <v>84</v>
      </c>
      <c r="AV258">
        <v>0</v>
      </c>
      <c r="AW258" t="s">
        <v>85</v>
      </c>
      <c r="AX258" t="s">
        <v>390</v>
      </c>
      <c r="AY258" t="s">
        <v>108</v>
      </c>
      <c r="AZ258" t="s">
        <v>777</v>
      </c>
      <c r="BA258" t="s">
        <v>391</v>
      </c>
      <c r="BB258" t="s">
        <v>90</v>
      </c>
      <c r="BC258">
        <v>1029</v>
      </c>
      <c r="BD258">
        <v>20250509</v>
      </c>
      <c r="BE258">
        <v>787.32799999999997</v>
      </c>
      <c r="BF258" t="s">
        <v>1157</v>
      </c>
      <c r="BG258" t="s">
        <v>1156</v>
      </c>
      <c r="BH258">
        <v>20250429</v>
      </c>
      <c r="BI258" t="s">
        <v>1155</v>
      </c>
      <c r="BJ258" t="s">
        <v>112</v>
      </c>
      <c r="BL258" t="s">
        <v>886</v>
      </c>
    </row>
    <row r="259" spans="1:64" x14ac:dyDescent="0.2">
      <c r="A259">
        <v>17</v>
      </c>
      <c r="B259">
        <v>5</v>
      </c>
      <c r="C259">
        <v>2025</v>
      </c>
      <c r="D259" t="s">
        <v>1180</v>
      </c>
      <c r="E259">
        <v>1</v>
      </c>
      <c r="F259" t="s">
        <v>65</v>
      </c>
      <c r="G259" t="s">
        <v>66</v>
      </c>
      <c r="H259">
        <v>20550731399</v>
      </c>
      <c r="I259" t="s">
        <v>67</v>
      </c>
      <c r="J259" t="s">
        <v>68</v>
      </c>
      <c r="K259" t="s">
        <v>69</v>
      </c>
      <c r="L259" t="s">
        <v>69</v>
      </c>
      <c r="M259" t="s">
        <v>70</v>
      </c>
      <c r="N259" t="s">
        <v>71</v>
      </c>
      <c r="O259" t="s">
        <v>71</v>
      </c>
      <c r="P259" t="s">
        <v>72</v>
      </c>
      <c r="Q259" t="s">
        <v>73</v>
      </c>
      <c r="R259" t="s">
        <v>74</v>
      </c>
      <c r="S259" t="s">
        <v>74</v>
      </c>
      <c r="T259" t="s">
        <v>163</v>
      </c>
      <c r="U259">
        <v>8483500000</v>
      </c>
      <c r="V259" t="s">
        <v>328</v>
      </c>
      <c r="W259" t="s">
        <v>1138</v>
      </c>
      <c r="X259" t="s">
        <v>485</v>
      </c>
      <c r="Z259" t="s">
        <v>268</v>
      </c>
      <c r="AA259" t="s">
        <v>987</v>
      </c>
      <c r="AD259" t="str">
        <f>Tabla1[[#This Row],[DESCRIPCIÓN DE MERCANCÍA 1]]</f>
        <v>EA3115A003</v>
      </c>
      <c r="AG259">
        <v>23988.799999999999</v>
      </c>
      <c r="AH259">
        <v>612.01</v>
      </c>
      <c r="AI259">
        <v>239.89</v>
      </c>
      <c r="AJ259">
        <v>24840.7</v>
      </c>
      <c r="AK259">
        <v>0</v>
      </c>
      <c r="AL259">
        <v>3974.51</v>
      </c>
      <c r="AM259">
        <v>496.81</v>
      </c>
      <c r="AN259">
        <v>266.7</v>
      </c>
      <c r="AO259">
        <v>282.29000000000002</v>
      </c>
      <c r="AP259">
        <v>1</v>
      </c>
      <c r="AQ259" t="s">
        <v>82</v>
      </c>
      <c r="AR259">
        <v>24840.697</v>
      </c>
      <c r="AS259">
        <v>1</v>
      </c>
      <c r="AT259" t="s">
        <v>107</v>
      </c>
      <c r="AU259" t="s">
        <v>84</v>
      </c>
      <c r="AV259">
        <v>2</v>
      </c>
      <c r="AW259" t="s">
        <v>85</v>
      </c>
      <c r="AX259" t="s">
        <v>215</v>
      </c>
      <c r="AY259" t="s">
        <v>108</v>
      </c>
      <c r="AZ259" t="s">
        <v>169</v>
      </c>
      <c r="BA259" t="s">
        <v>170</v>
      </c>
      <c r="BB259" t="s">
        <v>90</v>
      </c>
      <c r="BC259">
        <v>12992</v>
      </c>
      <c r="BD259">
        <v>20250517</v>
      </c>
      <c r="BE259">
        <v>23988.799999999999</v>
      </c>
      <c r="BG259">
        <v>425200514</v>
      </c>
      <c r="BH259">
        <v>20250513</v>
      </c>
      <c r="BJ259" t="s">
        <v>112</v>
      </c>
      <c r="BK259" t="s">
        <v>171</v>
      </c>
      <c r="BL259" t="s">
        <v>886</v>
      </c>
    </row>
    <row r="260" spans="1:64" x14ac:dyDescent="0.2">
      <c r="A260">
        <v>2</v>
      </c>
      <c r="B260">
        <v>5</v>
      </c>
      <c r="C260">
        <v>2025</v>
      </c>
      <c r="D260" t="s">
        <v>1185</v>
      </c>
      <c r="E260">
        <v>1</v>
      </c>
      <c r="F260" t="s">
        <v>65</v>
      </c>
      <c r="G260" t="s">
        <v>66</v>
      </c>
      <c r="H260">
        <v>20550731399</v>
      </c>
      <c r="I260" t="s">
        <v>67</v>
      </c>
      <c r="J260" t="s">
        <v>68</v>
      </c>
      <c r="K260" t="s">
        <v>69</v>
      </c>
      <c r="L260" t="s">
        <v>69</v>
      </c>
      <c r="M260" t="s">
        <v>70</v>
      </c>
      <c r="N260" t="s">
        <v>71</v>
      </c>
      <c r="O260" t="s">
        <v>71</v>
      </c>
      <c r="P260" t="s">
        <v>72</v>
      </c>
      <c r="Q260" t="s">
        <v>73</v>
      </c>
      <c r="R260" t="s">
        <v>117</v>
      </c>
      <c r="S260" t="s">
        <v>74</v>
      </c>
      <c r="T260" t="s">
        <v>246</v>
      </c>
      <c r="U260">
        <v>4016999000</v>
      </c>
      <c r="V260" t="s">
        <v>1184</v>
      </c>
      <c r="W260" t="s">
        <v>1183</v>
      </c>
      <c r="X260" t="s">
        <v>268</v>
      </c>
      <c r="Y260" t="s">
        <v>1182</v>
      </c>
      <c r="Z260" t="s">
        <v>269</v>
      </c>
      <c r="AA260" t="s">
        <v>147</v>
      </c>
      <c r="AB260" t="s">
        <v>268</v>
      </c>
      <c r="AC260" t="s">
        <v>214</v>
      </c>
      <c r="AD260" t="s">
        <v>1181</v>
      </c>
      <c r="AE260" t="s">
        <v>147</v>
      </c>
      <c r="AG260">
        <v>10666.64</v>
      </c>
      <c r="AH260">
        <v>203.67</v>
      </c>
      <c r="AI260">
        <v>186.67</v>
      </c>
      <c r="AJ260">
        <v>11056.98</v>
      </c>
      <c r="AK260">
        <v>663.42</v>
      </c>
      <c r="AL260">
        <v>1875.26</v>
      </c>
      <c r="AM260">
        <v>234.41</v>
      </c>
      <c r="AN260">
        <v>35.700000000000003</v>
      </c>
      <c r="AO260">
        <v>39.46</v>
      </c>
      <c r="AP260">
        <v>1</v>
      </c>
      <c r="AQ260" t="s">
        <v>82</v>
      </c>
      <c r="AR260">
        <v>11056.976000000001</v>
      </c>
      <c r="AS260">
        <v>1</v>
      </c>
      <c r="AT260" t="s">
        <v>107</v>
      </c>
      <c r="AU260" t="s">
        <v>84</v>
      </c>
      <c r="AV260">
        <v>1</v>
      </c>
      <c r="AW260" t="s">
        <v>85</v>
      </c>
      <c r="AY260" t="s">
        <v>87</v>
      </c>
      <c r="AZ260" t="s">
        <v>88</v>
      </c>
      <c r="BA260" t="s">
        <v>89</v>
      </c>
      <c r="BB260" t="s">
        <v>90</v>
      </c>
      <c r="BC260">
        <v>12770</v>
      </c>
      <c r="BD260">
        <v>20250505</v>
      </c>
      <c r="BE260">
        <v>10666.64</v>
      </c>
      <c r="BG260">
        <v>4636060822</v>
      </c>
      <c r="BH260">
        <v>20250429</v>
      </c>
      <c r="BJ260" t="s">
        <v>89</v>
      </c>
      <c r="BK260" t="s">
        <v>171</v>
      </c>
      <c r="BL260" t="s">
        <v>886</v>
      </c>
    </row>
    <row r="261" spans="1:64" x14ac:dyDescent="0.2">
      <c r="A261">
        <v>17</v>
      </c>
      <c r="B261">
        <v>5</v>
      </c>
      <c r="C261">
        <v>2025</v>
      </c>
      <c r="D261" t="s">
        <v>1180</v>
      </c>
      <c r="E261">
        <v>2</v>
      </c>
      <c r="F261" t="s">
        <v>65</v>
      </c>
      <c r="G261" t="s">
        <v>66</v>
      </c>
      <c r="H261">
        <v>20550731399</v>
      </c>
      <c r="I261" t="s">
        <v>67</v>
      </c>
      <c r="J261" t="s">
        <v>68</v>
      </c>
      <c r="K261" t="s">
        <v>69</v>
      </c>
      <c r="L261" t="s">
        <v>69</v>
      </c>
      <c r="M261" t="s">
        <v>70</v>
      </c>
      <c r="N261" t="s">
        <v>71</v>
      </c>
      <c r="O261" t="s">
        <v>71</v>
      </c>
      <c r="P261" t="s">
        <v>72</v>
      </c>
      <c r="Q261" t="s">
        <v>73</v>
      </c>
      <c r="R261" t="s">
        <v>74</v>
      </c>
      <c r="S261" t="s">
        <v>74</v>
      </c>
      <c r="T261" t="s">
        <v>163</v>
      </c>
      <c r="U261">
        <v>8483609000</v>
      </c>
      <c r="V261" t="s">
        <v>381</v>
      </c>
      <c r="W261" t="s">
        <v>1179</v>
      </c>
      <c r="X261" t="s">
        <v>1178</v>
      </c>
      <c r="Z261" t="s">
        <v>1177</v>
      </c>
      <c r="AD261" t="s">
        <v>1394</v>
      </c>
      <c r="AG261">
        <v>779.32</v>
      </c>
      <c r="AH261">
        <v>20.190000000000001</v>
      </c>
      <c r="AI261">
        <v>7.79</v>
      </c>
      <c r="AJ261">
        <v>807.3</v>
      </c>
      <c r="AK261">
        <v>0</v>
      </c>
      <c r="AL261">
        <v>129.16999999999999</v>
      </c>
      <c r="AM261">
        <v>16.149999999999999</v>
      </c>
      <c r="AN261">
        <v>8.8000000000000007</v>
      </c>
      <c r="AO261">
        <v>9.31</v>
      </c>
      <c r="AP261">
        <v>8</v>
      </c>
      <c r="AQ261" t="s">
        <v>82</v>
      </c>
      <c r="AR261">
        <v>100.913</v>
      </c>
      <c r="AS261">
        <v>8</v>
      </c>
      <c r="AT261" t="s">
        <v>107</v>
      </c>
      <c r="AU261" t="s">
        <v>84</v>
      </c>
      <c r="AV261">
        <v>0</v>
      </c>
      <c r="AW261" t="s">
        <v>85</v>
      </c>
      <c r="AX261" t="s">
        <v>215</v>
      </c>
      <c r="AY261" t="s">
        <v>108</v>
      </c>
      <c r="AZ261" t="s">
        <v>169</v>
      </c>
      <c r="BA261" t="s">
        <v>170</v>
      </c>
      <c r="BB261" t="s">
        <v>90</v>
      </c>
      <c r="BC261">
        <v>12992</v>
      </c>
      <c r="BD261">
        <v>20250517</v>
      </c>
      <c r="BE261">
        <v>97.415000000000006</v>
      </c>
      <c r="BG261">
        <v>425200514</v>
      </c>
      <c r="BH261">
        <v>20250513</v>
      </c>
      <c r="BJ261" t="s">
        <v>112</v>
      </c>
      <c r="BK261" t="s">
        <v>171</v>
      </c>
      <c r="BL261" t="s">
        <v>886</v>
      </c>
    </row>
    <row r="262" spans="1:64" x14ac:dyDescent="0.2">
      <c r="A262">
        <v>6</v>
      </c>
      <c r="B262">
        <v>5</v>
      </c>
      <c r="C262">
        <v>2025</v>
      </c>
      <c r="D262">
        <v>185313</v>
      </c>
      <c r="E262">
        <v>2</v>
      </c>
      <c r="F262" t="s">
        <v>279</v>
      </c>
      <c r="G262" t="s">
        <v>66</v>
      </c>
      <c r="H262">
        <v>20550731399</v>
      </c>
      <c r="I262" t="s">
        <v>67</v>
      </c>
      <c r="J262" t="s">
        <v>68</v>
      </c>
      <c r="K262" t="s">
        <v>69</v>
      </c>
      <c r="L262" t="s">
        <v>69</v>
      </c>
      <c r="M262" t="s">
        <v>70</v>
      </c>
      <c r="N262" t="s">
        <v>71</v>
      </c>
      <c r="O262" t="s">
        <v>71</v>
      </c>
      <c r="P262" t="s">
        <v>280</v>
      </c>
      <c r="Q262" t="s">
        <v>73</v>
      </c>
      <c r="R262" t="s">
        <v>98</v>
      </c>
      <c r="S262" t="s">
        <v>98</v>
      </c>
      <c r="T262" t="s">
        <v>770</v>
      </c>
      <c r="U262">
        <v>8412290000</v>
      </c>
      <c r="V262" t="s">
        <v>164</v>
      </c>
      <c r="W262" t="s">
        <v>1176</v>
      </c>
      <c r="X262" t="s">
        <v>773</v>
      </c>
      <c r="Z262" t="s">
        <v>221</v>
      </c>
      <c r="AB262" t="s">
        <v>221</v>
      </c>
      <c r="AC262" t="s">
        <v>763</v>
      </c>
      <c r="AD262" t="s">
        <v>1412</v>
      </c>
      <c r="AE262" t="s">
        <v>221</v>
      </c>
      <c r="AG262">
        <v>5536.07</v>
      </c>
      <c r="AH262">
        <v>31.56</v>
      </c>
      <c r="AI262">
        <v>55.36</v>
      </c>
      <c r="AJ262">
        <v>5622.99</v>
      </c>
      <c r="AK262">
        <v>0</v>
      </c>
      <c r="AL262">
        <v>899.68</v>
      </c>
      <c r="AM262">
        <v>112.46</v>
      </c>
      <c r="AN262">
        <v>124.25</v>
      </c>
      <c r="AO262">
        <v>130.79</v>
      </c>
      <c r="AP262">
        <v>2</v>
      </c>
      <c r="AQ262" t="s">
        <v>82</v>
      </c>
      <c r="AR262">
        <v>2811.4949999999999</v>
      </c>
      <c r="AS262">
        <v>2</v>
      </c>
      <c r="AT262" t="s">
        <v>107</v>
      </c>
      <c r="AU262" t="s">
        <v>84</v>
      </c>
      <c r="AV262">
        <v>0</v>
      </c>
      <c r="AW262" t="s">
        <v>85</v>
      </c>
      <c r="AX262" t="s">
        <v>390</v>
      </c>
      <c r="AY262" t="s">
        <v>108</v>
      </c>
      <c r="AZ262" t="s">
        <v>777</v>
      </c>
      <c r="BA262" t="s">
        <v>391</v>
      </c>
      <c r="BB262" t="s">
        <v>90</v>
      </c>
      <c r="BC262">
        <v>1029</v>
      </c>
      <c r="BD262">
        <v>20250509</v>
      </c>
      <c r="BE262">
        <v>2768.0349999999999</v>
      </c>
      <c r="BF262" t="s">
        <v>1157</v>
      </c>
      <c r="BG262" t="s">
        <v>1156</v>
      </c>
      <c r="BH262">
        <v>20250429</v>
      </c>
      <c r="BI262" t="s">
        <v>1155</v>
      </c>
      <c r="BJ262" t="s">
        <v>112</v>
      </c>
      <c r="BL262" t="s">
        <v>886</v>
      </c>
    </row>
    <row r="263" spans="1:64" x14ac:dyDescent="0.2">
      <c r="A263">
        <v>6</v>
      </c>
      <c r="B263">
        <v>5</v>
      </c>
      <c r="C263">
        <v>2025</v>
      </c>
      <c r="D263">
        <v>185313</v>
      </c>
      <c r="E263">
        <v>5</v>
      </c>
      <c r="F263" t="s">
        <v>279</v>
      </c>
      <c r="G263" t="s">
        <v>66</v>
      </c>
      <c r="H263">
        <v>20550731399</v>
      </c>
      <c r="I263" t="s">
        <v>67</v>
      </c>
      <c r="J263" t="s">
        <v>68</v>
      </c>
      <c r="K263" t="s">
        <v>69</v>
      </c>
      <c r="L263" t="s">
        <v>69</v>
      </c>
      <c r="M263" t="s">
        <v>70</v>
      </c>
      <c r="N263" t="s">
        <v>71</v>
      </c>
      <c r="O263" t="s">
        <v>71</v>
      </c>
      <c r="P263" t="s">
        <v>280</v>
      </c>
      <c r="Q263" t="s">
        <v>73</v>
      </c>
      <c r="R263" t="s">
        <v>98</v>
      </c>
      <c r="S263" t="s">
        <v>98</v>
      </c>
      <c r="T263" t="s">
        <v>770</v>
      </c>
      <c r="U263">
        <v>8412290000</v>
      </c>
      <c r="V263" t="s">
        <v>164</v>
      </c>
      <c r="W263" t="s">
        <v>1175</v>
      </c>
      <c r="X263" t="s">
        <v>192</v>
      </c>
      <c r="Y263" t="s">
        <v>1174</v>
      </c>
      <c r="Z263" t="s">
        <v>1173</v>
      </c>
      <c r="AB263" t="s">
        <v>79</v>
      </c>
      <c r="AC263" t="s">
        <v>763</v>
      </c>
      <c r="AD263" t="s">
        <v>1399</v>
      </c>
      <c r="AE263" t="s">
        <v>1173</v>
      </c>
      <c r="AG263">
        <v>7569.55</v>
      </c>
      <c r="AH263">
        <v>43.15</v>
      </c>
      <c r="AI263">
        <v>75.7</v>
      </c>
      <c r="AJ263">
        <v>7688.4</v>
      </c>
      <c r="AK263">
        <v>0</v>
      </c>
      <c r="AL263">
        <v>1230.1400000000001</v>
      </c>
      <c r="AM263">
        <v>153.77000000000001</v>
      </c>
      <c r="AN263">
        <v>169.89</v>
      </c>
      <c r="AO263">
        <v>178.83</v>
      </c>
      <c r="AP263">
        <v>6</v>
      </c>
      <c r="AQ263" t="s">
        <v>82</v>
      </c>
      <c r="AR263">
        <v>1281.3989999999999</v>
      </c>
      <c r="AS263">
        <v>6</v>
      </c>
      <c r="AT263" t="s">
        <v>107</v>
      </c>
      <c r="AU263" t="s">
        <v>84</v>
      </c>
      <c r="AV263">
        <v>0</v>
      </c>
      <c r="AW263" t="s">
        <v>85</v>
      </c>
      <c r="AX263" t="s">
        <v>390</v>
      </c>
      <c r="AY263" t="s">
        <v>108</v>
      </c>
      <c r="AZ263" t="s">
        <v>777</v>
      </c>
      <c r="BA263" t="s">
        <v>391</v>
      </c>
      <c r="BB263" t="s">
        <v>90</v>
      </c>
      <c r="BC263">
        <v>1029</v>
      </c>
      <c r="BD263">
        <v>20250509</v>
      </c>
      <c r="BE263">
        <v>1261.5920000000001</v>
      </c>
      <c r="BF263" t="s">
        <v>1157</v>
      </c>
      <c r="BG263" t="s">
        <v>1156</v>
      </c>
      <c r="BH263">
        <v>20250429</v>
      </c>
      <c r="BI263" t="s">
        <v>1155</v>
      </c>
      <c r="BJ263" t="s">
        <v>112</v>
      </c>
      <c r="BL263" t="s">
        <v>886</v>
      </c>
    </row>
    <row r="264" spans="1:64" x14ac:dyDescent="0.2">
      <c r="A264">
        <v>6</v>
      </c>
      <c r="B264">
        <v>5</v>
      </c>
      <c r="C264">
        <v>2025</v>
      </c>
      <c r="D264">
        <v>185313</v>
      </c>
      <c r="E264">
        <v>8</v>
      </c>
      <c r="F264" t="s">
        <v>279</v>
      </c>
      <c r="G264" t="s">
        <v>66</v>
      </c>
      <c r="H264">
        <v>20550731399</v>
      </c>
      <c r="I264" t="s">
        <v>67</v>
      </c>
      <c r="J264" t="s">
        <v>68</v>
      </c>
      <c r="K264" t="s">
        <v>69</v>
      </c>
      <c r="L264" t="s">
        <v>69</v>
      </c>
      <c r="M264" t="s">
        <v>70</v>
      </c>
      <c r="N264" t="s">
        <v>71</v>
      </c>
      <c r="O264" t="s">
        <v>71</v>
      </c>
      <c r="P264" t="s">
        <v>280</v>
      </c>
      <c r="Q264" t="s">
        <v>73</v>
      </c>
      <c r="R264" t="s">
        <v>74</v>
      </c>
      <c r="S264" t="s">
        <v>98</v>
      </c>
      <c r="T264" t="s">
        <v>770</v>
      </c>
      <c r="U264">
        <v>8412290000</v>
      </c>
      <c r="V264" t="s">
        <v>164</v>
      </c>
      <c r="W264" t="s">
        <v>1172</v>
      </c>
      <c r="X264" t="s">
        <v>192</v>
      </c>
      <c r="Y264" t="s">
        <v>1171</v>
      </c>
      <c r="Z264" t="s">
        <v>1170</v>
      </c>
      <c r="AB264" t="s">
        <v>79</v>
      </c>
      <c r="AC264" t="s">
        <v>1159</v>
      </c>
      <c r="AD264">
        <v>61237</v>
      </c>
      <c r="AE264" t="s">
        <v>1170</v>
      </c>
      <c r="AG264">
        <v>27.09</v>
      </c>
      <c r="AH264">
        <v>0.15</v>
      </c>
      <c r="AI264">
        <v>0.27</v>
      </c>
      <c r="AJ264">
        <v>27.52</v>
      </c>
      <c r="AK264">
        <v>0</v>
      </c>
      <c r="AL264">
        <v>4.4000000000000004</v>
      </c>
      <c r="AM264">
        <v>0.55000000000000004</v>
      </c>
      <c r="AN264">
        <v>0.61</v>
      </c>
      <c r="AO264">
        <v>0.64</v>
      </c>
      <c r="AP264">
        <v>1</v>
      </c>
      <c r="AQ264" t="s">
        <v>82</v>
      </c>
      <c r="AR264">
        <v>27.515000000000001</v>
      </c>
      <c r="AS264">
        <v>1</v>
      </c>
      <c r="AT264" t="s">
        <v>107</v>
      </c>
      <c r="AU264" t="s">
        <v>84</v>
      </c>
      <c r="AV264">
        <v>0</v>
      </c>
      <c r="AW264" t="s">
        <v>85</v>
      </c>
      <c r="AX264" t="s">
        <v>390</v>
      </c>
      <c r="AY264" t="s">
        <v>108</v>
      </c>
      <c r="AZ264" t="s">
        <v>777</v>
      </c>
      <c r="BA264" t="s">
        <v>391</v>
      </c>
      <c r="BB264" t="s">
        <v>90</v>
      </c>
      <c r="BC264">
        <v>1029</v>
      </c>
      <c r="BD264">
        <v>20250509</v>
      </c>
      <c r="BE264">
        <v>27.09</v>
      </c>
      <c r="BF264" t="s">
        <v>1157</v>
      </c>
      <c r="BG264" t="s">
        <v>1156</v>
      </c>
      <c r="BH264">
        <v>20250429</v>
      </c>
      <c r="BI264" t="s">
        <v>1155</v>
      </c>
      <c r="BJ264" t="s">
        <v>112</v>
      </c>
      <c r="BL264" t="s">
        <v>886</v>
      </c>
    </row>
    <row r="265" spans="1:64" x14ac:dyDescent="0.2">
      <c r="A265">
        <v>6</v>
      </c>
      <c r="B265">
        <v>5</v>
      </c>
      <c r="C265">
        <v>2025</v>
      </c>
      <c r="D265">
        <v>185313</v>
      </c>
      <c r="E265">
        <v>7</v>
      </c>
      <c r="F265" t="s">
        <v>279</v>
      </c>
      <c r="G265" t="s">
        <v>66</v>
      </c>
      <c r="H265">
        <v>20550731399</v>
      </c>
      <c r="I265" t="s">
        <v>67</v>
      </c>
      <c r="J265" t="s">
        <v>68</v>
      </c>
      <c r="K265" t="s">
        <v>69</v>
      </c>
      <c r="L265" t="s">
        <v>69</v>
      </c>
      <c r="M265" t="s">
        <v>70</v>
      </c>
      <c r="N265" t="s">
        <v>71</v>
      </c>
      <c r="O265" t="s">
        <v>71</v>
      </c>
      <c r="P265" t="s">
        <v>280</v>
      </c>
      <c r="Q265" t="s">
        <v>73</v>
      </c>
      <c r="R265" t="s">
        <v>98</v>
      </c>
      <c r="S265" t="s">
        <v>98</v>
      </c>
      <c r="T265" t="s">
        <v>770</v>
      </c>
      <c r="U265">
        <v>8412290000</v>
      </c>
      <c r="V265" t="s">
        <v>164</v>
      </c>
      <c r="W265" t="s">
        <v>1169</v>
      </c>
      <c r="X265" t="s">
        <v>1168</v>
      </c>
      <c r="Y265" t="s">
        <v>1167</v>
      </c>
      <c r="Z265" t="s">
        <v>221</v>
      </c>
      <c r="AB265" t="s">
        <v>221</v>
      </c>
      <c r="AC265" t="s">
        <v>763</v>
      </c>
      <c r="AD265" t="s">
        <v>1166</v>
      </c>
      <c r="AE265" t="s">
        <v>221</v>
      </c>
      <c r="AG265">
        <v>7613.94</v>
      </c>
      <c r="AH265">
        <v>43.4</v>
      </c>
      <c r="AI265">
        <v>76.14</v>
      </c>
      <c r="AJ265">
        <v>7733.48</v>
      </c>
      <c r="AK265">
        <v>0</v>
      </c>
      <c r="AL265">
        <v>1237.3599999999999</v>
      </c>
      <c r="AM265">
        <v>154.66999999999999</v>
      </c>
      <c r="AN265">
        <v>170.88</v>
      </c>
      <c r="AO265">
        <v>179.88</v>
      </c>
      <c r="AP265">
        <v>2</v>
      </c>
      <c r="AQ265" t="s">
        <v>82</v>
      </c>
      <c r="AR265">
        <v>3866.7420000000002</v>
      </c>
      <c r="AS265">
        <v>2</v>
      </c>
      <c r="AT265" t="s">
        <v>107</v>
      </c>
      <c r="AU265" t="s">
        <v>84</v>
      </c>
      <c r="AV265">
        <v>0</v>
      </c>
      <c r="AW265" t="s">
        <v>85</v>
      </c>
      <c r="AX265" t="s">
        <v>390</v>
      </c>
      <c r="AY265" t="s">
        <v>108</v>
      </c>
      <c r="AZ265" t="s">
        <v>777</v>
      </c>
      <c r="BA265" t="s">
        <v>391</v>
      </c>
      <c r="BB265" t="s">
        <v>90</v>
      </c>
      <c r="BC265">
        <v>1029</v>
      </c>
      <c r="BD265">
        <v>20250509</v>
      </c>
      <c r="BE265">
        <v>3806.97</v>
      </c>
      <c r="BF265" t="s">
        <v>1157</v>
      </c>
      <c r="BG265" t="s">
        <v>1156</v>
      </c>
      <c r="BH265">
        <v>20250429</v>
      </c>
      <c r="BI265" t="s">
        <v>1155</v>
      </c>
      <c r="BJ265" t="s">
        <v>112</v>
      </c>
      <c r="BL265" t="s">
        <v>886</v>
      </c>
    </row>
    <row r="266" spans="1:64" x14ac:dyDescent="0.2">
      <c r="A266">
        <v>6</v>
      </c>
      <c r="B266">
        <v>5</v>
      </c>
      <c r="C266">
        <v>2025</v>
      </c>
      <c r="D266">
        <v>185313</v>
      </c>
      <c r="E266">
        <v>6</v>
      </c>
      <c r="F266" t="s">
        <v>279</v>
      </c>
      <c r="G266" t="s">
        <v>66</v>
      </c>
      <c r="H266">
        <v>20550731399</v>
      </c>
      <c r="I266" t="s">
        <v>67</v>
      </c>
      <c r="J266" t="s">
        <v>68</v>
      </c>
      <c r="K266" t="s">
        <v>69</v>
      </c>
      <c r="L266" t="s">
        <v>69</v>
      </c>
      <c r="M266" t="s">
        <v>70</v>
      </c>
      <c r="N266" t="s">
        <v>71</v>
      </c>
      <c r="O266" t="s">
        <v>71</v>
      </c>
      <c r="P266" t="s">
        <v>280</v>
      </c>
      <c r="Q266" t="s">
        <v>73</v>
      </c>
      <c r="R266" t="s">
        <v>98</v>
      </c>
      <c r="S266" t="s">
        <v>98</v>
      </c>
      <c r="T266" t="s">
        <v>770</v>
      </c>
      <c r="U266">
        <v>8412900000</v>
      </c>
      <c r="V266" t="s">
        <v>129</v>
      </c>
      <c r="W266" t="s">
        <v>1165</v>
      </c>
      <c r="X266" t="s">
        <v>1164</v>
      </c>
      <c r="Z266" t="s">
        <v>1162</v>
      </c>
      <c r="AB266" t="s">
        <v>1163</v>
      </c>
      <c r="AC266" t="s">
        <v>763</v>
      </c>
      <c r="AD266" t="s">
        <v>1413</v>
      </c>
      <c r="AE266" t="s">
        <v>1162</v>
      </c>
      <c r="AG266">
        <v>1638.32</v>
      </c>
      <c r="AH266">
        <v>9.34</v>
      </c>
      <c r="AI266">
        <v>16.38</v>
      </c>
      <c r="AJ266">
        <v>1664.04</v>
      </c>
      <c r="AK266">
        <v>0</v>
      </c>
      <c r="AL266">
        <v>266.25</v>
      </c>
      <c r="AM266">
        <v>33.28</v>
      </c>
      <c r="AN266">
        <v>36.770000000000003</v>
      </c>
      <c r="AO266">
        <v>38.700000000000003</v>
      </c>
      <c r="AP266">
        <v>5</v>
      </c>
      <c r="AQ266" t="s">
        <v>82</v>
      </c>
      <c r="AR266">
        <v>332.80900000000003</v>
      </c>
      <c r="AS266">
        <v>5</v>
      </c>
      <c r="AT266" t="s">
        <v>107</v>
      </c>
      <c r="AU266" t="s">
        <v>84</v>
      </c>
      <c r="AV266">
        <v>0</v>
      </c>
      <c r="AW266" t="s">
        <v>85</v>
      </c>
      <c r="AX266" t="s">
        <v>390</v>
      </c>
      <c r="AY266" t="s">
        <v>108</v>
      </c>
      <c r="AZ266" t="s">
        <v>777</v>
      </c>
      <c r="BA266" t="s">
        <v>391</v>
      </c>
      <c r="BB266" t="s">
        <v>90</v>
      </c>
      <c r="BC266">
        <v>1029</v>
      </c>
      <c r="BD266">
        <v>20250509</v>
      </c>
      <c r="BE266">
        <v>327.66399999999999</v>
      </c>
      <c r="BF266" t="s">
        <v>1157</v>
      </c>
      <c r="BG266" t="s">
        <v>1156</v>
      </c>
      <c r="BH266">
        <v>20250429</v>
      </c>
      <c r="BI266" t="s">
        <v>1155</v>
      </c>
      <c r="BJ266" t="s">
        <v>112</v>
      </c>
      <c r="BL266" t="s">
        <v>886</v>
      </c>
    </row>
    <row r="267" spans="1:64" x14ac:dyDescent="0.2">
      <c r="A267">
        <v>6</v>
      </c>
      <c r="B267">
        <v>5</v>
      </c>
      <c r="C267">
        <v>2025</v>
      </c>
      <c r="D267">
        <v>185313</v>
      </c>
      <c r="E267">
        <v>9</v>
      </c>
      <c r="F267" t="s">
        <v>279</v>
      </c>
      <c r="G267" t="s">
        <v>66</v>
      </c>
      <c r="H267">
        <v>20550731399</v>
      </c>
      <c r="I267" t="s">
        <v>67</v>
      </c>
      <c r="J267" t="s">
        <v>68</v>
      </c>
      <c r="K267" t="s">
        <v>69</v>
      </c>
      <c r="L267" t="s">
        <v>69</v>
      </c>
      <c r="M267" t="s">
        <v>70</v>
      </c>
      <c r="N267" t="s">
        <v>71</v>
      </c>
      <c r="O267" t="s">
        <v>71</v>
      </c>
      <c r="P267" t="s">
        <v>280</v>
      </c>
      <c r="Q267" t="s">
        <v>73</v>
      </c>
      <c r="R267" t="s">
        <v>74</v>
      </c>
      <c r="S267" t="s">
        <v>98</v>
      </c>
      <c r="T267" t="s">
        <v>770</v>
      </c>
      <c r="U267">
        <v>8412290000</v>
      </c>
      <c r="V267" t="s">
        <v>164</v>
      </c>
      <c r="W267" t="s">
        <v>1161</v>
      </c>
      <c r="X267" t="s">
        <v>1160</v>
      </c>
      <c r="Z267" t="s">
        <v>167</v>
      </c>
      <c r="AB267" t="s">
        <v>167</v>
      </c>
      <c r="AC267" t="s">
        <v>1159</v>
      </c>
      <c r="AD267" t="s">
        <v>1158</v>
      </c>
      <c r="AE267" t="s">
        <v>167</v>
      </c>
      <c r="AG267">
        <v>1693.53</v>
      </c>
      <c r="AH267">
        <v>9.65</v>
      </c>
      <c r="AI267">
        <v>16.93</v>
      </c>
      <c r="AJ267">
        <v>1720.12</v>
      </c>
      <c r="AK267">
        <v>0</v>
      </c>
      <c r="AL267">
        <v>275.22000000000003</v>
      </c>
      <c r="AM267">
        <v>34.4</v>
      </c>
      <c r="AN267">
        <v>38.01</v>
      </c>
      <c r="AO267">
        <v>40.01</v>
      </c>
      <c r="AP267">
        <v>2</v>
      </c>
      <c r="AQ267" t="s">
        <v>82</v>
      </c>
      <c r="AR267">
        <v>860.05899999999997</v>
      </c>
      <c r="AS267">
        <v>2</v>
      </c>
      <c r="AT267" t="s">
        <v>107</v>
      </c>
      <c r="AU267" t="s">
        <v>84</v>
      </c>
      <c r="AV267">
        <v>0</v>
      </c>
      <c r="AW267" t="s">
        <v>85</v>
      </c>
      <c r="AX267" t="s">
        <v>390</v>
      </c>
      <c r="AY267" t="s">
        <v>108</v>
      </c>
      <c r="AZ267" t="s">
        <v>777</v>
      </c>
      <c r="BA267" t="s">
        <v>391</v>
      </c>
      <c r="BB267" t="s">
        <v>90</v>
      </c>
      <c r="BC267">
        <v>1029</v>
      </c>
      <c r="BD267">
        <v>20250509</v>
      </c>
      <c r="BE267">
        <v>846.76499999999999</v>
      </c>
      <c r="BF267" t="s">
        <v>1157</v>
      </c>
      <c r="BG267" t="s">
        <v>1156</v>
      </c>
      <c r="BH267">
        <v>20250429</v>
      </c>
      <c r="BI267" t="s">
        <v>1155</v>
      </c>
      <c r="BJ267" t="s">
        <v>112</v>
      </c>
      <c r="BL267" t="s">
        <v>886</v>
      </c>
    </row>
    <row r="268" spans="1:64" x14ac:dyDescent="0.2">
      <c r="A268">
        <v>13</v>
      </c>
      <c r="B268">
        <v>5</v>
      </c>
      <c r="C268">
        <v>2025</v>
      </c>
      <c r="D268">
        <v>196779</v>
      </c>
      <c r="E268">
        <v>2</v>
      </c>
      <c r="F268" t="s">
        <v>279</v>
      </c>
      <c r="G268" t="s">
        <v>66</v>
      </c>
      <c r="H268">
        <v>20550731399</v>
      </c>
      <c r="I268" t="s">
        <v>67</v>
      </c>
      <c r="J268" t="s">
        <v>68</v>
      </c>
      <c r="K268" t="s">
        <v>69</v>
      </c>
      <c r="L268" t="s">
        <v>69</v>
      </c>
      <c r="M268" t="s">
        <v>70</v>
      </c>
      <c r="N268" t="s">
        <v>71</v>
      </c>
      <c r="O268" t="s">
        <v>71</v>
      </c>
      <c r="P268" t="s">
        <v>280</v>
      </c>
      <c r="Q268" t="s">
        <v>73</v>
      </c>
      <c r="R268" t="s">
        <v>228</v>
      </c>
      <c r="S268" t="s">
        <v>1154</v>
      </c>
      <c r="T268" t="s">
        <v>1153</v>
      </c>
      <c r="U268">
        <v>8412290000</v>
      </c>
      <c r="V268" t="s">
        <v>164</v>
      </c>
      <c r="W268" t="s">
        <v>1152</v>
      </c>
      <c r="X268" t="s">
        <v>1151</v>
      </c>
      <c r="Y268" t="s">
        <v>1150</v>
      </c>
      <c r="Z268" t="s">
        <v>167</v>
      </c>
      <c r="AB268" t="s">
        <v>167</v>
      </c>
      <c r="AC268" t="s">
        <v>1150</v>
      </c>
      <c r="AD268" t="s">
        <v>1149</v>
      </c>
      <c r="AE268" t="s">
        <v>167</v>
      </c>
      <c r="AG268">
        <v>2264.42</v>
      </c>
      <c r="AH268">
        <v>37.06</v>
      </c>
      <c r="AI268">
        <v>22.64</v>
      </c>
      <c r="AJ268">
        <v>2324.12</v>
      </c>
      <c r="AK268">
        <v>0</v>
      </c>
      <c r="AL268">
        <v>371.86</v>
      </c>
      <c r="AM268">
        <v>46.48</v>
      </c>
      <c r="AN268">
        <v>205.37</v>
      </c>
      <c r="AO268">
        <v>216.79</v>
      </c>
      <c r="AP268">
        <v>1</v>
      </c>
      <c r="AQ268" t="s">
        <v>82</v>
      </c>
      <c r="AR268">
        <v>2324.123</v>
      </c>
      <c r="AS268">
        <v>1</v>
      </c>
      <c r="AT268" t="s">
        <v>107</v>
      </c>
      <c r="AU268" t="s">
        <v>84</v>
      </c>
      <c r="AV268">
        <v>0</v>
      </c>
      <c r="AW268" t="s">
        <v>85</v>
      </c>
      <c r="AY268" t="s">
        <v>108</v>
      </c>
      <c r="AZ268" t="s">
        <v>1095</v>
      </c>
      <c r="BA268" t="s">
        <v>323</v>
      </c>
      <c r="BB268" t="s">
        <v>90</v>
      </c>
      <c r="BC268">
        <v>1105</v>
      </c>
      <c r="BD268">
        <v>20250516</v>
      </c>
      <c r="BE268">
        <v>2264.42</v>
      </c>
      <c r="BF268" t="s">
        <v>1148</v>
      </c>
      <c r="BG268" t="s">
        <v>1147</v>
      </c>
      <c r="BH268">
        <v>20250509</v>
      </c>
      <c r="BI268" t="s">
        <v>1146</v>
      </c>
      <c r="BJ268" t="s">
        <v>379</v>
      </c>
      <c r="BL268" t="s">
        <v>886</v>
      </c>
    </row>
    <row r="269" spans="1:64" x14ac:dyDescent="0.2">
      <c r="A269">
        <v>12</v>
      </c>
      <c r="B269">
        <v>6</v>
      </c>
      <c r="C269">
        <v>2025</v>
      </c>
      <c r="D269">
        <v>243252</v>
      </c>
      <c r="E269">
        <v>1</v>
      </c>
      <c r="F269" t="s">
        <v>279</v>
      </c>
      <c r="G269" t="s">
        <v>66</v>
      </c>
      <c r="H269">
        <v>20550731399</v>
      </c>
      <c r="I269" t="s">
        <v>67</v>
      </c>
      <c r="J269" t="s">
        <v>68</v>
      </c>
      <c r="K269" t="s">
        <v>69</v>
      </c>
      <c r="L269" t="s">
        <v>69</v>
      </c>
      <c r="M269" t="s">
        <v>70</v>
      </c>
      <c r="N269" t="s">
        <v>71</v>
      </c>
      <c r="O269" t="s">
        <v>71</v>
      </c>
      <c r="P269" t="s">
        <v>280</v>
      </c>
      <c r="Q269" t="s">
        <v>73</v>
      </c>
      <c r="R269" t="s">
        <v>74</v>
      </c>
      <c r="S269" t="s">
        <v>74</v>
      </c>
      <c r="T269" t="s">
        <v>1069</v>
      </c>
      <c r="U269">
        <v>8413919000</v>
      </c>
      <c r="V269" t="s">
        <v>229</v>
      </c>
      <c r="W269" t="s">
        <v>1143</v>
      </c>
      <c r="X269" t="s">
        <v>1145</v>
      </c>
      <c r="Z269" t="s">
        <v>1144</v>
      </c>
      <c r="AD269" t="str">
        <f>Tabla1[[#This Row],[DESCRIPCIÓN DE MERCANCÍA 1]]</f>
        <v>WF421243R</v>
      </c>
      <c r="AG269">
        <v>3388.59</v>
      </c>
      <c r="AH269">
        <v>27.39</v>
      </c>
      <c r="AI269">
        <v>33.89</v>
      </c>
      <c r="AJ269">
        <v>3449.87</v>
      </c>
      <c r="AK269">
        <v>0</v>
      </c>
      <c r="AL269">
        <v>551.98</v>
      </c>
      <c r="AM269">
        <v>69</v>
      </c>
      <c r="AN269">
        <v>82.22</v>
      </c>
      <c r="AO269">
        <v>86.55</v>
      </c>
      <c r="AP269">
        <v>13</v>
      </c>
      <c r="AQ269" t="s">
        <v>82</v>
      </c>
      <c r="AR269">
        <v>265.37400000000002</v>
      </c>
      <c r="AS269">
        <v>13</v>
      </c>
      <c r="AT269" t="s">
        <v>107</v>
      </c>
      <c r="AU269" t="s">
        <v>84</v>
      </c>
      <c r="AV269">
        <v>1</v>
      </c>
      <c r="AW269" t="s">
        <v>85</v>
      </c>
      <c r="AX269" t="s">
        <v>792</v>
      </c>
      <c r="AY269" t="s">
        <v>108</v>
      </c>
      <c r="AZ269" t="s">
        <v>322</v>
      </c>
      <c r="BA269" t="s">
        <v>323</v>
      </c>
      <c r="BB269" t="s">
        <v>90</v>
      </c>
      <c r="BC269">
        <v>1410</v>
      </c>
      <c r="BD269">
        <v>20250616</v>
      </c>
      <c r="BE269">
        <v>260.661</v>
      </c>
      <c r="BF269" t="s">
        <v>1080</v>
      </c>
      <c r="BG269">
        <v>425600510</v>
      </c>
      <c r="BH269">
        <v>20250606</v>
      </c>
      <c r="BI269" t="s">
        <v>1079</v>
      </c>
      <c r="BJ269" t="s">
        <v>326</v>
      </c>
      <c r="BL269" t="s">
        <v>886</v>
      </c>
    </row>
    <row r="270" spans="1:64" x14ac:dyDescent="0.2">
      <c r="A270">
        <v>12</v>
      </c>
      <c r="B270">
        <v>6</v>
      </c>
      <c r="C270">
        <v>2025</v>
      </c>
      <c r="D270">
        <v>243252</v>
      </c>
      <c r="E270">
        <v>2</v>
      </c>
      <c r="F270" t="s">
        <v>279</v>
      </c>
      <c r="G270" t="s">
        <v>66</v>
      </c>
      <c r="H270">
        <v>20550731399</v>
      </c>
      <c r="I270" t="s">
        <v>67</v>
      </c>
      <c r="J270" t="s">
        <v>68</v>
      </c>
      <c r="K270" t="s">
        <v>69</v>
      </c>
      <c r="L270" t="s">
        <v>69</v>
      </c>
      <c r="M270" t="s">
        <v>70</v>
      </c>
      <c r="N270" t="s">
        <v>71</v>
      </c>
      <c r="O270" t="s">
        <v>71</v>
      </c>
      <c r="P270" t="s">
        <v>280</v>
      </c>
      <c r="Q270" t="s">
        <v>73</v>
      </c>
      <c r="R270" t="s">
        <v>74</v>
      </c>
      <c r="S270" t="s">
        <v>74</v>
      </c>
      <c r="T270" t="s">
        <v>1069</v>
      </c>
      <c r="U270">
        <v>8413919000</v>
      </c>
      <c r="V270" t="s">
        <v>229</v>
      </c>
      <c r="W270" t="s">
        <v>1143</v>
      </c>
      <c r="X270" t="s">
        <v>1386</v>
      </c>
      <c r="Z270" t="s">
        <v>1142</v>
      </c>
      <c r="AD270" t="str">
        <f>Tabla1[[#This Row],[DESCRIPCIÓN DE MERCANCÍA 1]]</f>
        <v>WF923953</v>
      </c>
      <c r="AG270">
        <v>589.59</v>
      </c>
      <c r="AH270">
        <v>4.7699999999999996</v>
      </c>
      <c r="AI270">
        <v>5.9</v>
      </c>
      <c r="AJ270">
        <v>600.25</v>
      </c>
      <c r="AK270">
        <v>0</v>
      </c>
      <c r="AL270">
        <v>96.04</v>
      </c>
      <c r="AM270">
        <v>12.01</v>
      </c>
      <c r="AN270">
        <v>14.31</v>
      </c>
      <c r="AO270">
        <v>15.06</v>
      </c>
      <c r="AP270">
        <v>6</v>
      </c>
      <c r="AQ270" t="s">
        <v>82</v>
      </c>
      <c r="AR270">
        <v>100.042</v>
      </c>
      <c r="AS270">
        <v>6</v>
      </c>
      <c r="AT270" t="s">
        <v>107</v>
      </c>
      <c r="AU270" t="s">
        <v>84</v>
      </c>
      <c r="AV270">
        <v>0</v>
      </c>
      <c r="AW270" t="s">
        <v>85</v>
      </c>
      <c r="AX270" t="s">
        <v>792</v>
      </c>
      <c r="AY270" t="s">
        <v>108</v>
      </c>
      <c r="AZ270" t="s">
        <v>322</v>
      </c>
      <c r="BA270" t="s">
        <v>323</v>
      </c>
      <c r="BB270" t="s">
        <v>90</v>
      </c>
      <c r="BC270">
        <v>1410</v>
      </c>
      <c r="BD270">
        <v>20250616</v>
      </c>
      <c r="BE270">
        <v>98.265000000000001</v>
      </c>
      <c r="BF270" t="s">
        <v>1080</v>
      </c>
      <c r="BG270">
        <v>425600510</v>
      </c>
      <c r="BH270">
        <v>20250606</v>
      </c>
      <c r="BI270" t="s">
        <v>1079</v>
      </c>
      <c r="BJ270" t="s">
        <v>326</v>
      </c>
      <c r="BL270" t="s">
        <v>886</v>
      </c>
    </row>
    <row r="271" spans="1:64" x14ac:dyDescent="0.2">
      <c r="A271">
        <v>12</v>
      </c>
      <c r="B271">
        <v>6</v>
      </c>
      <c r="C271">
        <v>2025</v>
      </c>
      <c r="D271">
        <v>243252</v>
      </c>
      <c r="E271">
        <v>3</v>
      </c>
      <c r="F271" t="s">
        <v>279</v>
      </c>
      <c r="G271" t="s">
        <v>66</v>
      </c>
      <c r="H271">
        <v>20550731399</v>
      </c>
      <c r="I271" t="s">
        <v>67</v>
      </c>
      <c r="J271" t="s">
        <v>68</v>
      </c>
      <c r="K271" t="s">
        <v>69</v>
      </c>
      <c r="L271" t="s">
        <v>69</v>
      </c>
      <c r="M271" t="s">
        <v>70</v>
      </c>
      <c r="N271" t="s">
        <v>71</v>
      </c>
      <c r="O271" t="s">
        <v>71</v>
      </c>
      <c r="P271" t="s">
        <v>280</v>
      </c>
      <c r="Q271" t="s">
        <v>73</v>
      </c>
      <c r="R271" t="s">
        <v>74</v>
      </c>
      <c r="S271" t="s">
        <v>74</v>
      </c>
      <c r="T271" t="s">
        <v>1069</v>
      </c>
      <c r="U271">
        <v>8481804000</v>
      </c>
      <c r="V271" t="s">
        <v>118</v>
      </c>
      <c r="W271" t="s">
        <v>1141</v>
      </c>
      <c r="X271" t="s">
        <v>336</v>
      </c>
      <c r="Z271" t="s">
        <v>1140</v>
      </c>
      <c r="AD271" t="str">
        <f>Tabla1[[#This Row],[DESCRIPCIÓN DE MERCANCÍA 1]]</f>
        <v>WF860262-I</v>
      </c>
      <c r="AG271">
        <v>897.83</v>
      </c>
      <c r="AH271">
        <v>7.26</v>
      </c>
      <c r="AI271">
        <v>8.98</v>
      </c>
      <c r="AJ271">
        <v>914.07</v>
      </c>
      <c r="AK271">
        <v>0</v>
      </c>
      <c r="AL271">
        <v>146.25</v>
      </c>
      <c r="AM271">
        <v>18.28</v>
      </c>
      <c r="AN271">
        <v>21.79</v>
      </c>
      <c r="AO271">
        <v>22.93</v>
      </c>
      <c r="AP271">
        <v>4</v>
      </c>
      <c r="AQ271" t="s">
        <v>82</v>
      </c>
      <c r="AR271">
        <v>228.51599999999999</v>
      </c>
      <c r="AS271">
        <v>4</v>
      </c>
      <c r="AT271" t="s">
        <v>107</v>
      </c>
      <c r="AU271" t="s">
        <v>84</v>
      </c>
      <c r="AV271">
        <v>0</v>
      </c>
      <c r="AW271" t="s">
        <v>85</v>
      </c>
      <c r="AX271" t="s">
        <v>792</v>
      </c>
      <c r="AY271" t="s">
        <v>108</v>
      </c>
      <c r="AZ271" t="s">
        <v>322</v>
      </c>
      <c r="BA271" t="s">
        <v>323</v>
      </c>
      <c r="BB271" t="s">
        <v>90</v>
      </c>
      <c r="BC271">
        <v>1410</v>
      </c>
      <c r="BD271">
        <v>20250616</v>
      </c>
      <c r="BE271">
        <v>224.458</v>
      </c>
      <c r="BF271" t="s">
        <v>1080</v>
      </c>
      <c r="BG271">
        <v>425600510</v>
      </c>
      <c r="BH271">
        <v>20250606</v>
      </c>
      <c r="BI271" t="s">
        <v>1079</v>
      </c>
      <c r="BJ271" t="s">
        <v>326</v>
      </c>
      <c r="BL271" t="s">
        <v>886</v>
      </c>
    </row>
    <row r="272" spans="1:64" x14ac:dyDescent="0.2">
      <c r="A272">
        <v>12</v>
      </c>
      <c r="B272">
        <v>6</v>
      </c>
      <c r="C272">
        <v>2025</v>
      </c>
      <c r="D272">
        <v>243252</v>
      </c>
      <c r="E272">
        <v>7</v>
      </c>
      <c r="F272" t="s">
        <v>279</v>
      </c>
      <c r="G272" t="s">
        <v>66</v>
      </c>
      <c r="H272">
        <v>20550731399</v>
      </c>
      <c r="I272" t="s">
        <v>67</v>
      </c>
      <c r="J272" t="s">
        <v>68</v>
      </c>
      <c r="K272" t="s">
        <v>69</v>
      </c>
      <c r="L272" t="s">
        <v>69</v>
      </c>
      <c r="M272" t="s">
        <v>70</v>
      </c>
      <c r="N272" t="s">
        <v>71</v>
      </c>
      <c r="O272" t="s">
        <v>71</v>
      </c>
      <c r="P272" t="s">
        <v>280</v>
      </c>
      <c r="Q272" t="s">
        <v>73</v>
      </c>
      <c r="R272" t="s">
        <v>74</v>
      </c>
      <c r="S272" t="s">
        <v>74</v>
      </c>
      <c r="T272" t="s">
        <v>1069</v>
      </c>
      <c r="U272">
        <v>8413190000</v>
      </c>
      <c r="V272" t="s">
        <v>100</v>
      </c>
      <c r="W272" t="s">
        <v>1136</v>
      </c>
      <c r="X272" t="s">
        <v>1387</v>
      </c>
      <c r="Z272" t="s">
        <v>1139</v>
      </c>
      <c r="AD272" t="str">
        <f>Tabla1[[#This Row],[DESCRIPCIÓN DE MERCANCÍA 1]]</f>
        <v>WF820008</v>
      </c>
      <c r="AG272">
        <v>189.29</v>
      </c>
      <c r="AH272">
        <v>1.53</v>
      </c>
      <c r="AI272">
        <v>1.89</v>
      </c>
      <c r="AJ272">
        <v>192.71</v>
      </c>
      <c r="AK272">
        <v>0</v>
      </c>
      <c r="AL272">
        <v>30.83</v>
      </c>
      <c r="AM272">
        <v>3.85</v>
      </c>
      <c r="AN272">
        <v>4.59</v>
      </c>
      <c r="AO272">
        <v>4.84</v>
      </c>
      <c r="AP272">
        <v>1</v>
      </c>
      <c r="AQ272" t="s">
        <v>82</v>
      </c>
      <c r="AR272">
        <v>192.71299999999999</v>
      </c>
      <c r="AS272">
        <v>1</v>
      </c>
      <c r="AT272" t="s">
        <v>107</v>
      </c>
      <c r="AU272" t="s">
        <v>84</v>
      </c>
      <c r="AV272">
        <v>0</v>
      </c>
      <c r="AW272" t="s">
        <v>85</v>
      </c>
      <c r="AX272" t="s">
        <v>792</v>
      </c>
      <c r="AY272" t="s">
        <v>108</v>
      </c>
      <c r="AZ272" t="s">
        <v>322</v>
      </c>
      <c r="BA272" t="s">
        <v>323</v>
      </c>
      <c r="BB272" t="s">
        <v>90</v>
      </c>
      <c r="BC272">
        <v>1410</v>
      </c>
      <c r="BD272">
        <v>20250616</v>
      </c>
      <c r="BE272">
        <v>189.29</v>
      </c>
      <c r="BF272" t="s">
        <v>1080</v>
      </c>
      <c r="BG272">
        <v>425600510</v>
      </c>
      <c r="BH272">
        <v>20250606</v>
      </c>
      <c r="BI272" t="s">
        <v>1079</v>
      </c>
      <c r="BJ272" t="s">
        <v>326</v>
      </c>
      <c r="BL272" t="s">
        <v>886</v>
      </c>
    </row>
    <row r="273" spans="1:64" x14ac:dyDescent="0.2">
      <c r="A273">
        <v>12</v>
      </c>
      <c r="B273">
        <v>6</v>
      </c>
      <c r="C273">
        <v>2025</v>
      </c>
      <c r="D273">
        <v>243251</v>
      </c>
      <c r="E273">
        <v>1</v>
      </c>
      <c r="F273" t="s">
        <v>279</v>
      </c>
      <c r="G273" t="s">
        <v>66</v>
      </c>
      <c r="H273">
        <v>20550731399</v>
      </c>
      <c r="I273" t="s">
        <v>67</v>
      </c>
      <c r="J273" t="s">
        <v>68</v>
      </c>
      <c r="K273" t="s">
        <v>69</v>
      </c>
      <c r="L273" t="s">
        <v>69</v>
      </c>
      <c r="M273" t="s">
        <v>70</v>
      </c>
      <c r="N273" t="s">
        <v>71</v>
      </c>
      <c r="O273" t="s">
        <v>71</v>
      </c>
      <c r="P273" t="s">
        <v>280</v>
      </c>
      <c r="Q273" t="s">
        <v>73</v>
      </c>
      <c r="R273" t="s">
        <v>74</v>
      </c>
      <c r="S273" t="s">
        <v>74</v>
      </c>
      <c r="T273" t="s">
        <v>1069</v>
      </c>
      <c r="U273">
        <v>8483500000</v>
      </c>
      <c r="V273" t="s">
        <v>328</v>
      </c>
      <c r="W273" t="s">
        <v>1138</v>
      </c>
      <c r="X273" t="s">
        <v>485</v>
      </c>
      <c r="Z273" t="s">
        <v>268</v>
      </c>
      <c r="AA273" t="s">
        <v>987</v>
      </c>
      <c r="AD273" t="str">
        <f>Tabla1[[#This Row],[DESCRIPCIÓN DE MERCANCÍA 1]]</f>
        <v>EA3115A003</v>
      </c>
      <c r="AG273">
        <v>24224.85</v>
      </c>
      <c r="AH273">
        <v>125</v>
      </c>
      <c r="AI273">
        <v>242.25</v>
      </c>
      <c r="AJ273">
        <v>24592.1</v>
      </c>
      <c r="AK273">
        <v>0</v>
      </c>
      <c r="AL273">
        <v>3934.74</v>
      </c>
      <c r="AM273">
        <v>491.84</v>
      </c>
      <c r="AN273">
        <v>230.85</v>
      </c>
      <c r="AO273">
        <v>243</v>
      </c>
      <c r="AP273">
        <v>1</v>
      </c>
      <c r="AQ273" t="s">
        <v>82</v>
      </c>
      <c r="AR273">
        <v>24592.098999999998</v>
      </c>
      <c r="AS273">
        <v>1</v>
      </c>
      <c r="AT273" t="s">
        <v>107</v>
      </c>
      <c r="AU273" t="s">
        <v>1137</v>
      </c>
      <c r="AV273">
        <v>1</v>
      </c>
      <c r="AW273" t="s">
        <v>85</v>
      </c>
      <c r="AX273" t="s">
        <v>215</v>
      </c>
      <c r="AY273" t="s">
        <v>108</v>
      </c>
      <c r="AZ273" t="s">
        <v>322</v>
      </c>
      <c r="BA273" t="s">
        <v>323</v>
      </c>
      <c r="BB273" t="s">
        <v>90</v>
      </c>
      <c r="BC273">
        <v>1410</v>
      </c>
      <c r="BD273">
        <v>20250616</v>
      </c>
      <c r="BE273">
        <v>24224.85</v>
      </c>
      <c r="BF273" t="s">
        <v>1080</v>
      </c>
      <c r="BG273">
        <v>425600509</v>
      </c>
      <c r="BH273">
        <v>20250606</v>
      </c>
      <c r="BI273" t="s">
        <v>1079</v>
      </c>
      <c r="BJ273" t="s">
        <v>326</v>
      </c>
      <c r="BK273" t="s">
        <v>171</v>
      </c>
      <c r="BL273" t="s">
        <v>886</v>
      </c>
    </row>
    <row r="274" spans="1:64" x14ac:dyDescent="0.2">
      <c r="A274">
        <v>12</v>
      </c>
      <c r="B274">
        <v>6</v>
      </c>
      <c r="C274">
        <v>2025</v>
      </c>
      <c r="D274">
        <v>243252</v>
      </c>
      <c r="E274">
        <v>5</v>
      </c>
      <c r="F274" t="s">
        <v>279</v>
      </c>
      <c r="G274" t="s">
        <v>66</v>
      </c>
      <c r="H274">
        <v>20550731399</v>
      </c>
      <c r="I274" t="s">
        <v>67</v>
      </c>
      <c r="J274" t="s">
        <v>68</v>
      </c>
      <c r="K274" t="s">
        <v>69</v>
      </c>
      <c r="L274" t="s">
        <v>69</v>
      </c>
      <c r="M274" t="s">
        <v>70</v>
      </c>
      <c r="N274" t="s">
        <v>71</v>
      </c>
      <c r="O274" t="s">
        <v>71</v>
      </c>
      <c r="P274" t="s">
        <v>280</v>
      </c>
      <c r="Q274" t="s">
        <v>73</v>
      </c>
      <c r="R274" t="s">
        <v>74</v>
      </c>
      <c r="S274" t="s">
        <v>74</v>
      </c>
      <c r="T274" t="s">
        <v>1069</v>
      </c>
      <c r="U274">
        <v>8413190000</v>
      </c>
      <c r="V274" t="s">
        <v>100</v>
      </c>
      <c r="W274" t="s">
        <v>1136</v>
      </c>
      <c r="X274" t="s">
        <v>1388</v>
      </c>
      <c r="Z274" t="s">
        <v>1135</v>
      </c>
      <c r="AD274" t="str">
        <f>Tabla1[[#This Row],[DESCRIPCIÓN DE MERCANCÍA 1]]</f>
        <v>WF820005</v>
      </c>
      <c r="AG274">
        <v>662</v>
      </c>
      <c r="AH274">
        <v>5.35</v>
      </c>
      <c r="AI274">
        <v>6.62</v>
      </c>
      <c r="AJ274">
        <v>673.97</v>
      </c>
      <c r="AK274">
        <v>0</v>
      </c>
      <c r="AL274">
        <v>107.84</v>
      </c>
      <c r="AM274">
        <v>13.48</v>
      </c>
      <c r="AN274">
        <v>16.059999999999999</v>
      </c>
      <c r="AO274">
        <v>16.91</v>
      </c>
      <c r="AP274">
        <v>4</v>
      </c>
      <c r="AQ274" t="s">
        <v>82</v>
      </c>
      <c r="AR274">
        <v>168.49299999999999</v>
      </c>
      <c r="AS274">
        <v>4</v>
      </c>
      <c r="AT274" t="s">
        <v>107</v>
      </c>
      <c r="AU274" t="s">
        <v>84</v>
      </c>
      <c r="AV274">
        <v>0</v>
      </c>
      <c r="AW274" t="s">
        <v>85</v>
      </c>
      <c r="AX274" t="s">
        <v>792</v>
      </c>
      <c r="AY274" t="s">
        <v>108</v>
      </c>
      <c r="AZ274" t="s">
        <v>322</v>
      </c>
      <c r="BA274" t="s">
        <v>323</v>
      </c>
      <c r="BB274" t="s">
        <v>90</v>
      </c>
      <c r="BC274">
        <v>1410</v>
      </c>
      <c r="BD274">
        <v>20250616</v>
      </c>
      <c r="BE274">
        <v>165.5</v>
      </c>
      <c r="BF274" t="s">
        <v>1080</v>
      </c>
      <c r="BG274">
        <v>425600510</v>
      </c>
      <c r="BH274">
        <v>20250606</v>
      </c>
      <c r="BI274" t="s">
        <v>1079</v>
      </c>
      <c r="BJ274" t="s">
        <v>326</v>
      </c>
      <c r="BL274" t="s">
        <v>886</v>
      </c>
    </row>
    <row r="275" spans="1:64" x14ac:dyDescent="0.2">
      <c r="A275">
        <v>12</v>
      </c>
      <c r="B275">
        <v>6</v>
      </c>
      <c r="C275">
        <v>2025</v>
      </c>
      <c r="D275">
        <v>243252</v>
      </c>
      <c r="E275">
        <v>9</v>
      </c>
      <c r="F275" t="s">
        <v>279</v>
      </c>
      <c r="G275" t="s">
        <v>66</v>
      </c>
      <c r="H275">
        <v>20550731399</v>
      </c>
      <c r="I275" t="s">
        <v>67</v>
      </c>
      <c r="J275" t="s">
        <v>68</v>
      </c>
      <c r="K275" t="s">
        <v>69</v>
      </c>
      <c r="L275" t="s">
        <v>69</v>
      </c>
      <c r="M275" t="s">
        <v>70</v>
      </c>
      <c r="N275" t="s">
        <v>71</v>
      </c>
      <c r="O275" t="s">
        <v>71</v>
      </c>
      <c r="P275" t="s">
        <v>280</v>
      </c>
      <c r="Q275" t="s">
        <v>73</v>
      </c>
      <c r="R275" t="s">
        <v>74</v>
      </c>
      <c r="S275" t="s">
        <v>74</v>
      </c>
      <c r="T275" t="s">
        <v>1069</v>
      </c>
      <c r="U275">
        <v>8413919000</v>
      </c>
      <c r="V275" t="s">
        <v>229</v>
      </c>
      <c r="W275" t="s">
        <v>1126</v>
      </c>
      <c r="X275" t="s">
        <v>1134</v>
      </c>
      <c r="Z275" t="s">
        <v>1133</v>
      </c>
      <c r="AD275" t="str">
        <f>Tabla1[[#This Row],[DESCRIPCIÓN DE MERCANCÍA 1]]</f>
        <v>VS24-58900-0</v>
      </c>
      <c r="AG275">
        <v>1039.54</v>
      </c>
      <c r="AH275">
        <v>8.4</v>
      </c>
      <c r="AI275">
        <v>10.39</v>
      </c>
      <c r="AJ275">
        <v>1058.3399999999999</v>
      </c>
      <c r="AK275">
        <v>0</v>
      </c>
      <c r="AL275">
        <v>169.33</v>
      </c>
      <c r="AM275">
        <v>21.17</v>
      </c>
      <c r="AN275">
        <v>25.22</v>
      </c>
      <c r="AO275">
        <v>26.55</v>
      </c>
      <c r="AP275">
        <v>3</v>
      </c>
      <c r="AQ275" t="s">
        <v>82</v>
      </c>
      <c r="AR275">
        <v>352.779</v>
      </c>
      <c r="AS275">
        <v>3</v>
      </c>
      <c r="AT275" t="s">
        <v>107</v>
      </c>
      <c r="AU275" t="s">
        <v>84</v>
      </c>
      <c r="AV275">
        <v>0</v>
      </c>
      <c r="AW275" t="s">
        <v>85</v>
      </c>
      <c r="AX275" t="s">
        <v>792</v>
      </c>
      <c r="AY275" t="s">
        <v>108</v>
      </c>
      <c r="AZ275" t="s">
        <v>322</v>
      </c>
      <c r="BA275" t="s">
        <v>323</v>
      </c>
      <c r="BB275" t="s">
        <v>90</v>
      </c>
      <c r="BC275">
        <v>1410</v>
      </c>
      <c r="BD275">
        <v>20250616</v>
      </c>
      <c r="BE275">
        <v>346.51299999999998</v>
      </c>
      <c r="BF275" t="s">
        <v>1080</v>
      </c>
      <c r="BG275">
        <v>425600510</v>
      </c>
      <c r="BH275">
        <v>20250606</v>
      </c>
      <c r="BI275" t="s">
        <v>1079</v>
      </c>
      <c r="BJ275" t="s">
        <v>326</v>
      </c>
      <c r="BL275" t="s">
        <v>886</v>
      </c>
    </row>
    <row r="276" spans="1:64" x14ac:dyDescent="0.2">
      <c r="A276">
        <v>12</v>
      </c>
      <c r="B276">
        <v>6</v>
      </c>
      <c r="C276">
        <v>2025</v>
      </c>
      <c r="D276">
        <v>243252</v>
      </c>
      <c r="E276">
        <v>6</v>
      </c>
      <c r="F276" t="s">
        <v>279</v>
      </c>
      <c r="G276" t="s">
        <v>66</v>
      </c>
      <c r="H276">
        <v>20550731399</v>
      </c>
      <c r="I276" t="s">
        <v>67</v>
      </c>
      <c r="J276" t="s">
        <v>68</v>
      </c>
      <c r="K276" t="s">
        <v>69</v>
      </c>
      <c r="L276" t="s">
        <v>69</v>
      </c>
      <c r="M276" t="s">
        <v>70</v>
      </c>
      <c r="N276" t="s">
        <v>71</v>
      </c>
      <c r="O276" t="s">
        <v>71</v>
      </c>
      <c r="P276" t="s">
        <v>280</v>
      </c>
      <c r="Q276" t="s">
        <v>73</v>
      </c>
      <c r="R276" t="s">
        <v>74</v>
      </c>
      <c r="S276" t="s">
        <v>74</v>
      </c>
      <c r="T276" t="s">
        <v>1069</v>
      </c>
      <c r="U276">
        <v>8413919000</v>
      </c>
      <c r="V276" t="s">
        <v>229</v>
      </c>
      <c r="W276" t="s">
        <v>1132</v>
      </c>
      <c r="X276" t="s">
        <v>1389</v>
      </c>
      <c r="Z276" t="s">
        <v>371</v>
      </c>
      <c r="AD276" t="str">
        <f>Tabla1[[#This Row],[DESCRIPCIÓN DE MERCANCÍA 1]]</f>
        <v>WF923167</v>
      </c>
      <c r="AG276">
        <v>1090.22</v>
      </c>
      <c r="AH276">
        <v>8.81</v>
      </c>
      <c r="AI276">
        <v>10.9</v>
      </c>
      <c r="AJ276">
        <v>1109.93</v>
      </c>
      <c r="AK276">
        <v>0</v>
      </c>
      <c r="AL276">
        <v>177.59</v>
      </c>
      <c r="AM276">
        <v>22.2</v>
      </c>
      <c r="AN276">
        <v>26.45</v>
      </c>
      <c r="AO276">
        <v>27.85</v>
      </c>
      <c r="AP276">
        <v>2</v>
      </c>
      <c r="AQ276" t="s">
        <v>82</v>
      </c>
      <c r="AR276">
        <v>554.96699999999998</v>
      </c>
      <c r="AS276">
        <v>2</v>
      </c>
      <c r="AT276" t="s">
        <v>107</v>
      </c>
      <c r="AU276" t="s">
        <v>84</v>
      </c>
      <c r="AV276">
        <v>0</v>
      </c>
      <c r="AW276" t="s">
        <v>85</v>
      </c>
      <c r="AX276" t="s">
        <v>792</v>
      </c>
      <c r="AY276" t="s">
        <v>108</v>
      </c>
      <c r="AZ276" t="s">
        <v>322</v>
      </c>
      <c r="BA276" t="s">
        <v>323</v>
      </c>
      <c r="BB276" t="s">
        <v>90</v>
      </c>
      <c r="BC276">
        <v>1410</v>
      </c>
      <c r="BD276">
        <v>20250616</v>
      </c>
      <c r="BE276">
        <v>545.11</v>
      </c>
      <c r="BF276" t="s">
        <v>1080</v>
      </c>
      <c r="BG276">
        <v>425600510</v>
      </c>
      <c r="BH276">
        <v>20250606</v>
      </c>
      <c r="BI276" t="s">
        <v>1079</v>
      </c>
      <c r="BJ276" t="s">
        <v>326</v>
      </c>
      <c r="BL276" t="s">
        <v>886</v>
      </c>
    </row>
    <row r="277" spans="1:64" x14ac:dyDescent="0.2">
      <c r="A277">
        <v>12</v>
      </c>
      <c r="B277">
        <v>6</v>
      </c>
      <c r="C277">
        <v>2025</v>
      </c>
      <c r="D277">
        <v>243252</v>
      </c>
      <c r="E277">
        <v>10</v>
      </c>
      <c r="F277" t="s">
        <v>279</v>
      </c>
      <c r="G277" t="s">
        <v>66</v>
      </c>
      <c r="H277">
        <v>20550731399</v>
      </c>
      <c r="I277" t="s">
        <v>67</v>
      </c>
      <c r="J277" t="s">
        <v>68</v>
      </c>
      <c r="K277" t="s">
        <v>69</v>
      </c>
      <c r="L277" t="s">
        <v>69</v>
      </c>
      <c r="M277" t="s">
        <v>70</v>
      </c>
      <c r="N277" t="s">
        <v>71</v>
      </c>
      <c r="O277" t="s">
        <v>71</v>
      </c>
      <c r="P277" t="s">
        <v>280</v>
      </c>
      <c r="Q277" t="s">
        <v>73</v>
      </c>
      <c r="R277" t="s">
        <v>74</v>
      </c>
      <c r="S277" t="s">
        <v>74</v>
      </c>
      <c r="T277" t="s">
        <v>1069</v>
      </c>
      <c r="U277">
        <v>8412290000</v>
      </c>
      <c r="V277" t="s">
        <v>164</v>
      </c>
      <c r="W277" t="s">
        <v>1131</v>
      </c>
      <c r="X277" t="s">
        <v>192</v>
      </c>
      <c r="Y277" t="s">
        <v>1130</v>
      </c>
      <c r="Z277" t="s">
        <v>181</v>
      </c>
      <c r="AG277">
        <v>707.51</v>
      </c>
      <c r="AH277">
        <v>5.72</v>
      </c>
      <c r="AI277">
        <v>7.08</v>
      </c>
      <c r="AJ277">
        <v>720.3</v>
      </c>
      <c r="AK277">
        <v>0</v>
      </c>
      <c r="AL277">
        <v>115.25</v>
      </c>
      <c r="AM277">
        <v>14.41</v>
      </c>
      <c r="AN277">
        <v>17.170000000000002</v>
      </c>
      <c r="AO277">
        <v>18.07</v>
      </c>
      <c r="AP277">
        <v>18</v>
      </c>
      <c r="AQ277" t="s">
        <v>82</v>
      </c>
      <c r="AR277">
        <v>40.017000000000003</v>
      </c>
      <c r="AS277">
        <v>18</v>
      </c>
      <c r="AT277" t="s">
        <v>107</v>
      </c>
      <c r="AU277" t="s">
        <v>84</v>
      </c>
      <c r="AV277">
        <v>0</v>
      </c>
      <c r="AW277" t="s">
        <v>85</v>
      </c>
      <c r="AX277" t="s">
        <v>792</v>
      </c>
      <c r="AY277" t="s">
        <v>108</v>
      </c>
      <c r="AZ277" t="s">
        <v>322</v>
      </c>
      <c r="BA277" t="s">
        <v>323</v>
      </c>
      <c r="BB277" t="s">
        <v>90</v>
      </c>
      <c r="BC277">
        <v>1410</v>
      </c>
      <c r="BD277">
        <v>20250616</v>
      </c>
      <c r="BE277">
        <v>39.305999999999997</v>
      </c>
      <c r="BF277" t="s">
        <v>1080</v>
      </c>
      <c r="BG277">
        <v>425600510</v>
      </c>
      <c r="BH277">
        <v>20250606</v>
      </c>
      <c r="BI277" t="s">
        <v>1079</v>
      </c>
      <c r="BJ277" t="s">
        <v>326</v>
      </c>
      <c r="BL277" t="s">
        <v>886</v>
      </c>
    </row>
    <row r="278" spans="1:64" x14ac:dyDescent="0.2">
      <c r="A278">
        <v>12</v>
      </c>
      <c r="B278">
        <v>6</v>
      </c>
      <c r="C278">
        <v>2025</v>
      </c>
      <c r="D278">
        <v>243252</v>
      </c>
      <c r="E278">
        <v>4</v>
      </c>
      <c r="F278" t="s">
        <v>279</v>
      </c>
      <c r="G278" t="s">
        <v>66</v>
      </c>
      <c r="H278">
        <v>20550731399</v>
      </c>
      <c r="I278" t="s">
        <v>67</v>
      </c>
      <c r="J278" t="s">
        <v>68</v>
      </c>
      <c r="K278" t="s">
        <v>69</v>
      </c>
      <c r="L278" t="s">
        <v>69</v>
      </c>
      <c r="M278" t="s">
        <v>70</v>
      </c>
      <c r="N278" t="s">
        <v>71</v>
      </c>
      <c r="O278" t="s">
        <v>71</v>
      </c>
      <c r="P278" t="s">
        <v>280</v>
      </c>
      <c r="Q278" t="s">
        <v>73</v>
      </c>
      <c r="R278" t="s">
        <v>74</v>
      </c>
      <c r="S278" t="s">
        <v>74</v>
      </c>
      <c r="T278" t="s">
        <v>1069</v>
      </c>
      <c r="U278">
        <v>8413190000</v>
      </c>
      <c r="V278" t="s">
        <v>100</v>
      </c>
      <c r="W278" t="s">
        <v>1129</v>
      </c>
      <c r="X278" t="s">
        <v>1128</v>
      </c>
      <c r="Z278" t="s">
        <v>1127</v>
      </c>
      <c r="AD278" t="str">
        <f>Tabla1[[#This Row],[DESCRIPCIÓN DE MERCANCÍA 1]]</f>
        <v>V024-50585-0</v>
      </c>
      <c r="AG278">
        <v>4724.99</v>
      </c>
      <c r="AH278">
        <v>38.19</v>
      </c>
      <c r="AI278">
        <v>47.25</v>
      </c>
      <c r="AJ278">
        <v>4810.43</v>
      </c>
      <c r="AK278">
        <v>0</v>
      </c>
      <c r="AL278">
        <v>769.67</v>
      </c>
      <c r="AM278">
        <v>96.21</v>
      </c>
      <c r="AN278">
        <v>114.65</v>
      </c>
      <c r="AO278">
        <v>120.69</v>
      </c>
      <c r="AP278">
        <v>2</v>
      </c>
      <c r="AQ278" t="s">
        <v>82</v>
      </c>
      <c r="AR278">
        <v>2405.2159999999999</v>
      </c>
      <c r="AS278">
        <v>2</v>
      </c>
      <c r="AT278" t="s">
        <v>107</v>
      </c>
      <c r="AU278" t="s">
        <v>84</v>
      </c>
      <c r="AV278">
        <v>0</v>
      </c>
      <c r="AW278" t="s">
        <v>85</v>
      </c>
      <c r="AX278" t="s">
        <v>792</v>
      </c>
      <c r="AY278" t="s">
        <v>108</v>
      </c>
      <c r="AZ278" t="s">
        <v>322</v>
      </c>
      <c r="BA278" t="s">
        <v>323</v>
      </c>
      <c r="BB278" t="s">
        <v>90</v>
      </c>
      <c r="BC278">
        <v>1410</v>
      </c>
      <c r="BD278">
        <v>20250616</v>
      </c>
      <c r="BE278">
        <v>2362.4949999999999</v>
      </c>
      <c r="BF278" t="s">
        <v>1080</v>
      </c>
      <c r="BG278">
        <v>425600510</v>
      </c>
      <c r="BH278">
        <v>20250606</v>
      </c>
      <c r="BI278" t="s">
        <v>1079</v>
      </c>
      <c r="BJ278" t="s">
        <v>326</v>
      </c>
      <c r="BL278" t="s">
        <v>886</v>
      </c>
    </row>
    <row r="279" spans="1:64" x14ac:dyDescent="0.2">
      <c r="A279">
        <v>12</v>
      </c>
      <c r="B279">
        <v>6</v>
      </c>
      <c r="C279">
        <v>2025</v>
      </c>
      <c r="D279">
        <v>243252</v>
      </c>
      <c r="E279">
        <v>8</v>
      </c>
      <c r="F279" t="s">
        <v>279</v>
      </c>
      <c r="G279" t="s">
        <v>66</v>
      </c>
      <c r="H279">
        <v>20550731399</v>
      </c>
      <c r="I279" t="s">
        <v>67</v>
      </c>
      <c r="J279" t="s">
        <v>68</v>
      </c>
      <c r="K279" t="s">
        <v>69</v>
      </c>
      <c r="L279" t="s">
        <v>69</v>
      </c>
      <c r="M279" t="s">
        <v>70</v>
      </c>
      <c r="N279" t="s">
        <v>71</v>
      </c>
      <c r="O279" t="s">
        <v>71</v>
      </c>
      <c r="P279" t="s">
        <v>280</v>
      </c>
      <c r="Q279" t="s">
        <v>73</v>
      </c>
      <c r="R279" t="s">
        <v>74</v>
      </c>
      <c r="S279" t="s">
        <v>74</v>
      </c>
      <c r="T279" t="s">
        <v>1069</v>
      </c>
      <c r="U279">
        <v>8413919000</v>
      </c>
      <c r="V279" t="s">
        <v>229</v>
      </c>
      <c r="W279" t="s">
        <v>1126</v>
      </c>
      <c r="X279" t="s">
        <v>1125</v>
      </c>
      <c r="Z279" t="s">
        <v>1124</v>
      </c>
      <c r="AD279" t="str">
        <f>Tabla1[[#This Row],[DESCRIPCIÓN DE MERCANCÍA 1]]</f>
        <v>VS24-40385-0</v>
      </c>
      <c r="AG279">
        <v>992.99</v>
      </c>
      <c r="AH279">
        <v>8.0299999999999994</v>
      </c>
      <c r="AI279">
        <v>9.93</v>
      </c>
      <c r="AJ279">
        <v>1010.95</v>
      </c>
      <c r="AK279">
        <v>0</v>
      </c>
      <c r="AL279">
        <v>161.75</v>
      </c>
      <c r="AM279">
        <v>20.22</v>
      </c>
      <c r="AN279">
        <v>24.09</v>
      </c>
      <c r="AO279">
        <v>25.36</v>
      </c>
      <c r="AP279">
        <v>1</v>
      </c>
      <c r="AQ279" t="s">
        <v>82</v>
      </c>
      <c r="AR279">
        <v>1010.946</v>
      </c>
      <c r="AS279">
        <v>1</v>
      </c>
      <c r="AT279" t="s">
        <v>107</v>
      </c>
      <c r="AU279" t="s">
        <v>84</v>
      </c>
      <c r="AV279">
        <v>0</v>
      </c>
      <c r="AW279" t="s">
        <v>85</v>
      </c>
      <c r="AX279" t="s">
        <v>792</v>
      </c>
      <c r="AY279" t="s">
        <v>108</v>
      </c>
      <c r="AZ279" t="s">
        <v>322</v>
      </c>
      <c r="BA279" t="s">
        <v>323</v>
      </c>
      <c r="BB279" t="s">
        <v>90</v>
      </c>
      <c r="BC279">
        <v>1410</v>
      </c>
      <c r="BD279">
        <v>20250616</v>
      </c>
      <c r="BE279">
        <v>992.99</v>
      </c>
      <c r="BF279" t="s">
        <v>1080</v>
      </c>
      <c r="BG279">
        <v>425600510</v>
      </c>
      <c r="BH279">
        <v>20250606</v>
      </c>
      <c r="BI279" t="s">
        <v>1079</v>
      </c>
      <c r="BJ279" t="s">
        <v>326</v>
      </c>
      <c r="BL279" t="s">
        <v>886</v>
      </c>
    </row>
    <row r="280" spans="1:64" x14ac:dyDescent="0.2">
      <c r="A280">
        <v>20</v>
      </c>
      <c r="B280">
        <v>6</v>
      </c>
      <c r="C280">
        <v>2025</v>
      </c>
      <c r="D280" t="s">
        <v>1091</v>
      </c>
      <c r="E280">
        <v>4</v>
      </c>
      <c r="F280" t="s">
        <v>65</v>
      </c>
      <c r="G280" t="s">
        <v>66</v>
      </c>
      <c r="H280">
        <v>20550731399</v>
      </c>
      <c r="I280" t="s">
        <v>67</v>
      </c>
      <c r="J280" t="s">
        <v>68</v>
      </c>
      <c r="K280" t="s">
        <v>69</v>
      </c>
      <c r="L280" t="s">
        <v>69</v>
      </c>
      <c r="M280" t="s">
        <v>70</v>
      </c>
      <c r="N280" t="s">
        <v>71</v>
      </c>
      <c r="O280" t="s">
        <v>71</v>
      </c>
      <c r="P280" t="s">
        <v>72</v>
      </c>
      <c r="Q280" t="s">
        <v>73</v>
      </c>
      <c r="R280" t="s">
        <v>228</v>
      </c>
      <c r="S280" t="s">
        <v>74</v>
      </c>
      <c r="T280" t="s">
        <v>163</v>
      </c>
      <c r="U280">
        <v>8413819000</v>
      </c>
      <c r="V280" t="s">
        <v>1118</v>
      </c>
      <c r="W280" t="s">
        <v>1123</v>
      </c>
      <c r="X280" t="s">
        <v>1122</v>
      </c>
      <c r="Y280" t="s">
        <v>1121</v>
      </c>
      <c r="Z280" t="s">
        <v>1120</v>
      </c>
      <c r="AA280" t="s">
        <v>1109</v>
      </c>
      <c r="AB280" t="s">
        <v>176</v>
      </c>
      <c r="AC280" t="s">
        <v>177</v>
      </c>
      <c r="AD280">
        <v>372613</v>
      </c>
      <c r="AE280" t="s">
        <v>1119</v>
      </c>
      <c r="AG280">
        <v>225.56</v>
      </c>
      <c r="AH280">
        <v>7.48</v>
      </c>
      <c r="AI280">
        <v>2.2599999999999998</v>
      </c>
      <c r="AJ280">
        <v>235.3</v>
      </c>
      <c r="AK280">
        <v>0</v>
      </c>
      <c r="AL280">
        <v>37.65</v>
      </c>
      <c r="AM280">
        <v>4.71</v>
      </c>
      <c r="AN280">
        <v>1.8</v>
      </c>
      <c r="AO280">
        <v>1.9</v>
      </c>
      <c r="AP280">
        <v>1</v>
      </c>
      <c r="AQ280" t="s">
        <v>82</v>
      </c>
      <c r="AR280">
        <v>235.29599999999999</v>
      </c>
      <c r="AS280">
        <v>1</v>
      </c>
      <c r="AT280" t="s">
        <v>107</v>
      </c>
      <c r="AU280" t="s">
        <v>84</v>
      </c>
      <c r="AV280">
        <v>0</v>
      </c>
      <c r="AW280" t="s">
        <v>85</v>
      </c>
      <c r="AY280" t="s">
        <v>1084</v>
      </c>
      <c r="AZ280" t="s">
        <v>169</v>
      </c>
      <c r="BA280" t="s">
        <v>224</v>
      </c>
      <c r="BB280" t="s">
        <v>90</v>
      </c>
      <c r="BC280">
        <v>16258</v>
      </c>
      <c r="BD280">
        <v>20250625</v>
      </c>
      <c r="BE280">
        <v>225.56</v>
      </c>
      <c r="BG280" t="s">
        <v>1083</v>
      </c>
      <c r="BH280">
        <v>20250620</v>
      </c>
      <c r="BJ280" t="s">
        <v>226</v>
      </c>
      <c r="BK280" t="s">
        <v>171</v>
      </c>
    </row>
    <row r="281" spans="1:64" x14ac:dyDescent="0.2">
      <c r="A281">
        <v>20</v>
      </c>
      <c r="B281">
        <v>6</v>
      </c>
      <c r="C281">
        <v>2025</v>
      </c>
      <c r="D281" t="s">
        <v>1091</v>
      </c>
      <c r="E281">
        <v>7</v>
      </c>
      <c r="F281" t="s">
        <v>65</v>
      </c>
      <c r="G281" t="s">
        <v>66</v>
      </c>
      <c r="H281">
        <v>20550731399</v>
      </c>
      <c r="I281" t="s">
        <v>67</v>
      </c>
      <c r="J281" t="s">
        <v>68</v>
      </c>
      <c r="K281" t="s">
        <v>69</v>
      </c>
      <c r="L281" t="s">
        <v>69</v>
      </c>
      <c r="M281" t="s">
        <v>70</v>
      </c>
      <c r="N281" t="s">
        <v>71</v>
      </c>
      <c r="O281" t="s">
        <v>71</v>
      </c>
      <c r="P281" t="s">
        <v>72</v>
      </c>
      <c r="Q281" t="s">
        <v>73</v>
      </c>
      <c r="R281" t="s">
        <v>228</v>
      </c>
      <c r="S281" t="s">
        <v>74</v>
      </c>
      <c r="T281" t="s">
        <v>163</v>
      </c>
      <c r="U281">
        <v>3926904000</v>
      </c>
      <c r="V281" t="s">
        <v>1090</v>
      </c>
      <c r="W281" t="s">
        <v>1101</v>
      </c>
      <c r="X281" t="s">
        <v>1100</v>
      </c>
      <c r="Y281" t="s">
        <v>1087</v>
      </c>
      <c r="Z281" t="s">
        <v>1099</v>
      </c>
      <c r="AA281" t="s">
        <v>1086</v>
      </c>
      <c r="AB281" t="s">
        <v>1085</v>
      </c>
      <c r="AC281" t="s">
        <v>177</v>
      </c>
      <c r="AD281">
        <v>923157</v>
      </c>
      <c r="AE281" t="s">
        <v>1099</v>
      </c>
      <c r="AG281">
        <v>252.5</v>
      </c>
      <c r="AH281">
        <v>8.93</v>
      </c>
      <c r="AI281">
        <v>6.31</v>
      </c>
      <c r="AJ281">
        <v>267.74</v>
      </c>
      <c r="AK281">
        <v>16.059999999999999</v>
      </c>
      <c r="AL281">
        <v>45.41</v>
      </c>
      <c r="AM281">
        <v>5.68</v>
      </c>
      <c r="AN281">
        <v>2.15</v>
      </c>
      <c r="AO281">
        <v>2.68</v>
      </c>
      <c r="AP281">
        <v>80</v>
      </c>
      <c r="AQ281" t="s">
        <v>82</v>
      </c>
      <c r="AR281">
        <v>3.347</v>
      </c>
      <c r="AS281">
        <v>10</v>
      </c>
      <c r="AT281" t="s">
        <v>83</v>
      </c>
      <c r="AU281" t="s">
        <v>84</v>
      </c>
      <c r="AV281">
        <v>0</v>
      </c>
      <c r="AW281" t="s">
        <v>85</v>
      </c>
      <c r="AY281" t="s">
        <v>1084</v>
      </c>
      <c r="AZ281" t="s">
        <v>169</v>
      </c>
      <c r="BA281" t="s">
        <v>224</v>
      </c>
      <c r="BB281" t="s">
        <v>90</v>
      </c>
      <c r="BC281">
        <v>16258</v>
      </c>
      <c r="BD281">
        <v>20250625</v>
      </c>
      <c r="BE281">
        <v>3.1560000000000001</v>
      </c>
      <c r="BG281" t="s">
        <v>1083</v>
      </c>
      <c r="BH281">
        <v>20250620</v>
      </c>
      <c r="BJ281" t="s">
        <v>226</v>
      </c>
      <c r="BK281" t="s">
        <v>171</v>
      </c>
    </row>
    <row r="282" spans="1:64" x14ac:dyDescent="0.2">
      <c r="A282">
        <v>20</v>
      </c>
      <c r="B282">
        <v>6</v>
      </c>
      <c r="C282">
        <v>2025</v>
      </c>
      <c r="D282" t="s">
        <v>1091</v>
      </c>
      <c r="E282">
        <v>5</v>
      </c>
      <c r="F282" t="s">
        <v>65</v>
      </c>
      <c r="G282" t="s">
        <v>66</v>
      </c>
      <c r="H282">
        <v>20550731399</v>
      </c>
      <c r="I282" t="s">
        <v>67</v>
      </c>
      <c r="J282" t="s">
        <v>68</v>
      </c>
      <c r="K282" t="s">
        <v>69</v>
      </c>
      <c r="L282" t="s">
        <v>69</v>
      </c>
      <c r="M282" t="s">
        <v>70</v>
      </c>
      <c r="N282" t="s">
        <v>71</v>
      </c>
      <c r="O282" t="s">
        <v>71</v>
      </c>
      <c r="P282" t="s">
        <v>72</v>
      </c>
      <c r="Q282" t="s">
        <v>73</v>
      </c>
      <c r="R282" t="s">
        <v>228</v>
      </c>
      <c r="S282" t="s">
        <v>74</v>
      </c>
      <c r="T282" t="s">
        <v>163</v>
      </c>
      <c r="U282">
        <v>8413819000</v>
      </c>
      <c r="V282" t="s">
        <v>1118</v>
      </c>
      <c r="W282" t="s">
        <v>1117</v>
      </c>
      <c r="X282" t="s">
        <v>1116</v>
      </c>
      <c r="Y282" t="s">
        <v>418</v>
      </c>
      <c r="Z282" t="s">
        <v>1115</v>
      </c>
      <c r="AA282" t="s">
        <v>1114</v>
      </c>
      <c r="AB282" t="s">
        <v>1006</v>
      </c>
      <c r="AC282" t="s">
        <v>177</v>
      </c>
      <c r="AD282">
        <v>280372</v>
      </c>
      <c r="AE282" t="s">
        <v>1113</v>
      </c>
      <c r="AG282">
        <v>36.81</v>
      </c>
      <c r="AH282">
        <v>1.22</v>
      </c>
      <c r="AI282">
        <v>0.37</v>
      </c>
      <c r="AJ282">
        <v>38.4</v>
      </c>
      <c r="AK282">
        <v>0</v>
      </c>
      <c r="AL282">
        <v>6.14</v>
      </c>
      <c r="AM282">
        <v>0.77</v>
      </c>
      <c r="AN282">
        <v>0.13</v>
      </c>
      <c r="AO282">
        <v>0.31</v>
      </c>
      <c r="AP282">
        <v>1</v>
      </c>
      <c r="AQ282" t="s">
        <v>82</v>
      </c>
      <c r="AR282">
        <v>38.398000000000003</v>
      </c>
      <c r="AS282">
        <v>1</v>
      </c>
      <c r="AT282" t="s">
        <v>107</v>
      </c>
      <c r="AU282" t="s">
        <v>84</v>
      </c>
      <c r="AV282">
        <v>0</v>
      </c>
      <c r="AW282" t="s">
        <v>85</v>
      </c>
      <c r="AY282" t="s">
        <v>1084</v>
      </c>
      <c r="AZ282" t="s">
        <v>169</v>
      </c>
      <c r="BA282" t="s">
        <v>224</v>
      </c>
      <c r="BB282" t="s">
        <v>90</v>
      </c>
      <c r="BC282">
        <v>16258</v>
      </c>
      <c r="BD282">
        <v>20250625</v>
      </c>
      <c r="BE282">
        <v>36.81</v>
      </c>
      <c r="BG282" t="s">
        <v>1083</v>
      </c>
      <c r="BH282">
        <v>20250620</v>
      </c>
      <c r="BJ282" t="s">
        <v>226</v>
      </c>
      <c r="BK282" t="s">
        <v>171</v>
      </c>
    </row>
    <row r="283" spans="1:64" x14ac:dyDescent="0.2">
      <c r="A283">
        <v>20</v>
      </c>
      <c r="B283">
        <v>6</v>
      </c>
      <c r="C283">
        <v>2025</v>
      </c>
      <c r="D283" t="s">
        <v>1091</v>
      </c>
      <c r="E283">
        <v>1</v>
      </c>
      <c r="F283" t="s">
        <v>65</v>
      </c>
      <c r="G283" t="s">
        <v>66</v>
      </c>
      <c r="H283">
        <v>20550731399</v>
      </c>
      <c r="I283" t="s">
        <v>67</v>
      </c>
      <c r="J283" t="s">
        <v>68</v>
      </c>
      <c r="K283" t="s">
        <v>69</v>
      </c>
      <c r="L283" t="s">
        <v>69</v>
      </c>
      <c r="M283" t="s">
        <v>70</v>
      </c>
      <c r="N283" t="s">
        <v>71</v>
      </c>
      <c r="O283" t="s">
        <v>71</v>
      </c>
      <c r="P283" t="s">
        <v>72</v>
      </c>
      <c r="Q283" t="s">
        <v>73</v>
      </c>
      <c r="R283" t="s">
        <v>228</v>
      </c>
      <c r="S283" t="s">
        <v>74</v>
      </c>
      <c r="T283" t="s">
        <v>163</v>
      </c>
      <c r="U283">
        <v>8413919000</v>
      </c>
      <c r="V283" t="s">
        <v>229</v>
      </c>
      <c r="W283" t="s">
        <v>1112</v>
      </c>
      <c r="X283" t="s">
        <v>1111</v>
      </c>
      <c r="Y283" t="s">
        <v>1110</v>
      </c>
      <c r="Z283" t="s">
        <v>1106</v>
      </c>
      <c r="AA283" t="s">
        <v>1109</v>
      </c>
      <c r="AB283" t="s">
        <v>1108</v>
      </c>
      <c r="AC283" t="s">
        <v>177</v>
      </c>
      <c r="AD283" t="s">
        <v>1107</v>
      </c>
      <c r="AE283" t="s">
        <v>1106</v>
      </c>
      <c r="AG283">
        <v>9195.42</v>
      </c>
      <c r="AH283">
        <v>305</v>
      </c>
      <c r="AI283">
        <v>91.95</v>
      </c>
      <c r="AJ283">
        <v>9592.3799999999992</v>
      </c>
      <c r="AK283">
        <v>0</v>
      </c>
      <c r="AL283">
        <v>1534.78</v>
      </c>
      <c r="AM283">
        <v>191.85</v>
      </c>
      <c r="AN283">
        <v>73.72</v>
      </c>
      <c r="AO283">
        <v>80.05</v>
      </c>
      <c r="AP283">
        <v>10</v>
      </c>
      <c r="AQ283" t="s">
        <v>82</v>
      </c>
      <c r="AR283">
        <v>959.23699999999997</v>
      </c>
      <c r="AS283">
        <v>10</v>
      </c>
      <c r="AT283" t="s">
        <v>107</v>
      </c>
      <c r="AU283" t="s">
        <v>84</v>
      </c>
      <c r="AV283">
        <v>1</v>
      </c>
      <c r="AW283" t="s">
        <v>85</v>
      </c>
      <c r="AY283" t="s">
        <v>1084</v>
      </c>
      <c r="AZ283" t="s">
        <v>169</v>
      </c>
      <c r="BA283" t="s">
        <v>224</v>
      </c>
      <c r="BB283" t="s">
        <v>90</v>
      </c>
      <c r="BC283">
        <v>16258</v>
      </c>
      <c r="BD283">
        <v>20250625</v>
      </c>
      <c r="BE283">
        <v>919.54200000000003</v>
      </c>
      <c r="BG283" t="s">
        <v>1083</v>
      </c>
      <c r="BH283">
        <v>20250620</v>
      </c>
      <c r="BJ283" t="s">
        <v>226</v>
      </c>
      <c r="BK283" t="s">
        <v>171</v>
      </c>
    </row>
    <row r="284" spans="1:64" x14ac:dyDescent="0.2">
      <c r="A284">
        <v>20</v>
      </c>
      <c r="B284">
        <v>6</v>
      </c>
      <c r="C284">
        <v>2025</v>
      </c>
      <c r="D284" t="s">
        <v>1091</v>
      </c>
      <c r="E284">
        <v>6</v>
      </c>
      <c r="F284" t="s">
        <v>65</v>
      </c>
      <c r="G284" t="s">
        <v>66</v>
      </c>
      <c r="H284">
        <v>20550731399</v>
      </c>
      <c r="I284" t="s">
        <v>67</v>
      </c>
      <c r="J284" t="s">
        <v>68</v>
      </c>
      <c r="K284" t="s">
        <v>69</v>
      </c>
      <c r="L284" t="s">
        <v>69</v>
      </c>
      <c r="M284" t="s">
        <v>70</v>
      </c>
      <c r="N284" t="s">
        <v>71</v>
      </c>
      <c r="O284" t="s">
        <v>71</v>
      </c>
      <c r="P284" t="s">
        <v>72</v>
      </c>
      <c r="Q284" t="s">
        <v>73</v>
      </c>
      <c r="R284" t="s">
        <v>228</v>
      </c>
      <c r="S284" t="s">
        <v>74</v>
      </c>
      <c r="T284" t="s">
        <v>163</v>
      </c>
      <c r="U284">
        <v>3926904000</v>
      </c>
      <c r="V284" t="s">
        <v>1090</v>
      </c>
      <c r="W284" t="s">
        <v>1105</v>
      </c>
      <c r="X284" t="s">
        <v>1104</v>
      </c>
      <c r="Y284" t="s">
        <v>1103</v>
      </c>
      <c r="Z284" t="s">
        <v>181</v>
      </c>
      <c r="AA284" t="s">
        <v>1086</v>
      </c>
      <c r="AB284" t="s">
        <v>1085</v>
      </c>
      <c r="AC284" t="s">
        <v>177</v>
      </c>
      <c r="AD284" t="s">
        <v>1102</v>
      </c>
      <c r="AE284" t="s">
        <v>181</v>
      </c>
      <c r="AG284">
        <v>1231.48</v>
      </c>
      <c r="AH284">
        <v>40.299999999999997</v>
      </c>
      <c r="AI284">
        <v>30.79</v>
      </c>
      <c r="AJ284">
        <v>1302.56</v>
      </c>
      <c r="AK284">
        <v>78.150000000000006</v>
      </c>
      <c r="AL284">
        <v>220.91</v>
      </c>
      <c r="AM284">
        <v>27.61</v>
      </c>
      <c r="AN284">
        <v>9.6999999999999993</v>
      </c>
      <c r="AO284">
        <v>10.210000000000001</v>
      </c>
      <c r="AP284">
        <v>192</v>
      </c>
      <c r="AQ284" t="s">
        <v>82</v>
      </c>
      <c r="AR284">
        <v>6.7839999999999998</v>
      </c>
      <c r="AS284">
        <v>24</v>
      </c>
      <c r="AT284" t="s">
        <v>83</v>
      </c>
      <c r="AU284" t="s">
        <v>84</v>
      </c>
      <c r="AV284">
        <v>0</v>
      </c>
      <c r="AW284" t="s">
        <v>85</v>
      </c>
      <c r="AY284" t="s">
        <v>1084</v>
      </c>
      <c r="AZ284" t="s">
        <v>169</v>
      </c>
      <c r="BA284" t="s">
        <v>224</v>
      </c>
      <c r="BB284" t="s">
        <v>90</v>
      </c>
      <c r="BC284">
        <v>16258</v>
      </c>
      <c r="BD284">
        <v>20250625</v>
      </c>
      <c r="BE284">
        <v>6.4139999999999997</v>
      </c>
      <c r="BG284" t="s">
        <v>1083</v>
      </c>
      <c r="BH284">
        <v>20250620</v>
      </c>
      <c r="BJ284" t="s">
        <v>226</v>
      </c>
      <c r="BK284" t="s">
        <v>171</v>
      </c>
    </row>
    <row r="285" spans="1:64" x14ac:dyDescent="0.2">
      <c r="A285">
        <v>20</v>
      </c>
      <c r="B285">
        <v>6</v>
      </c>
      <c r="C285">
        <v>2025</v>
      </c>
      <c r="D285" t="s">
        <v>1091</v>
      </c>
      <c r="E285">
        <v>2</v>
      </c>
      <c r="F285" t="s">
        <v>65</v>
      </c>
      <c r="G285" t="s">
        <v>66</v>
      </c>
      <c r="H285">
        <v>20550731399</v>
      </c>
      <c r="I285" t="s">
        <v>67</v>
      </c>
      <c r="J285" t="s">
        <v>68</v>
      </c>
      <c r="K285" t="s">
        <v>69</v>
      </c>
      <c r="L285" t="s">
        <v>69</v>
      </c>
      <c r="M285" t="s">
        <v>70</v>
      </c>
      <c r="N285" t="s">
        <v>71</v>
      </c>
      <c r="O285" t="s">
        <v>71</v>
      </c>
      <c r="P285" t="s">
        <v>72</v>
      </c>
      <c r="Q285" t="s">
        <v>73</v>
      </c>
      <c r="R285" t="s">
        <v>228</v>
      </c>
      <c r="S285" t="s">
        <v>74</v>
      </c>
      <c r="T285" t="s">
        <v>163</v>
      </c>
      <c r="U285">
        <v>3926904000</v>
      </c>
      <c r="V285" t="s">
        <v>1090</v>
      </c>
      <c r="W285" t="s">
        <v>1101</v>
      </c>
      <c r="X285" t="s">
        <v>1100</v>
      </c>
      <c r="Y285" t="s">
        <v>1087</v>
      </c>
      <c r="Z285" t="s">
        <v>1099</v>
      </c>
      <c r="AA285" t="s">
        <v>1086</v>
      </c>
      <c r="AB285" t="s">
        <v>1085</v>
      </c>
      <c r="AC285" t="s">
        <v>177</v>
      </c>
      <c r="AD285">
        <v>923157</v>
      </c>
      <c r="AE285" t="s">
        <v>1099</v>
      </c>
      <c r="AG285">
        <v>294.89999999999998</v>
      </c>
      <c r="AH285">
        <v>9.7799999999999994</v>
      </c>
      <c r="AI285">
        <v>7.37</v>
      </c>
      <c r="AJ285">
        <v>312.06</v>
      </c>
      <c r="AK285">
        <v>18.72</v>
      </c>
      <c r="AL285">
        <v>52.92</v>
      </c>
      <c r="AM285">
        <v>6.62</v>
      </c>
      <c r="AN285">
        <v>2.36</v>
      </c>
      <c r="AO285">
        <v>2.48</v>
      </c>
      <c r="AP285">
        <v>80</v>
      </c>
      <c r="AQ285" t="s">
        <v>82</v>
      </c>
      <c r="AR285">
        <v>3.9009999999999998</v>
      </c>
      <c r="AS285">
        <v>10</v>
      </c>
      <c r="AT285" t="s">
        <v>83</v>
      </c>
      <c r="AU285" t="s">
        <v>84</v>
      </c>
      <c r="AV285">
        <v>0</v>
      </c>
      <c r="AW285" t="s">
        <v>85</v>
      </c>
      <c r="AY285" t="s">
        <v>1084</v>
      </c>
      <c r="AZ285" t="s">
        <v>169</v>
      </c>
      <c r="BA285" t="s">
        <v>224</v>
      </c>
      <c r="BB285" t="s">
        <v>90</v>
      </c>
      <c r="BC285">
        <v>16258</v>
      </c>
      <c r="BD285">
        <v>20250625</v>
      </c>
      <c r="BE285">
        <v>3.6859999999999999</v>
      </c>
      <c r="BG285" t="s">
        <v>1083</v>
      </c>
      <c r="BH285">
        <v>20250620</v>
      </c>
      <c r="BJ285" t="s">
        <v>226</v>
      </c>
      <c r="BK285" t="s">
        <v>171</v>
      </c>
    </row>
    <row r="286" spans="1:64" x14ac:dyDescent="0.2">
      <c r="A286">
        <v>27</v>
      </c>
      <c r="B286">
        <v>6</v>
      </c>
      <c r="C286">
        <v>2025</v>
      </c>
      <c r="D286">
        <v>268793</v>
      </c>
      <c r="E286">
        <v>1</v>
      </c>
      <c r="F286" t="s">
        <v>279</v>
      </c>
      <c r="G286" t="s">
        <v>66</v>
      </c>
      <c r="H286">
        <v>20550731399</v>
      </c>
      <c r="I286" t="s">
        <v>67</v>
      </c>
      <c r="J286" t="s">
        <v>68</v>
      </c>
      <c r="K286" t="s">
        <v>69</v>
      </c>
      <c r="L286" t="s">
        <v>69</v>
      </c>
      <c r="M286" t="s">
        <v>70</v>
      </c>
      <c r="N286" t="s">
        <v>71</v>
      </c>
      <c r="O286" t="s">
        <v>71</v>
      </c>
      <c r="P286" t="s">
        <v>280</v>
      </c>
      <c r="R286" t="s">
        <v>117</v>
      </c>
      <c r="S286" t="s">
        <v>117</v>
      </c>
      <c r="T286" t="s">
        <v>372</v>
      </c>
      <c r="U286">
        <v>8425190000</v>
      </c>
      <c r="V286" t="s">
        <v>314</v>
      </c>
      <c r="W286" t="s">
        <v>1098</v>
      </c>
      <c r="X286" t="s">
        <v>1097</v>
      </c>
      <c r="Y286">
        <v>110102007756</v>
      </c>
      <c r="Z286" t="s">
        <v>1096</v>
      </c>
      <c r="AD286" t="str">
        <f>Tabla1[[#This Row],[DESCRIPCIÓN DE MERCANCÍA 1]]</f>
        <v>GFS 3909/C</v>
      </c>
      <c r="AG286">
        <v>1688.24</v>
      </c>
      <c r="AH286">
        <v>176.76</v>
      </c>
      <c r="AI286">
        <v>16.88</v>
      </c>
      <c r="AJ286">
        <v>1881.88</v>
      </c>
      <c r="AK286">
        <v>0</v>
      </c>
      <c r="AL286">
        <v>301.10000000000002</v>
      </c>
      <c r="AM286">
        <v>37.64</v>
      </c>
      <c r="AN286">
        <v>310.08</v>
      </c>
      <c r="AO286">
        <v>326.39999999999998</v>
      </c>
      <c r="AP286">
        <v>180</v>
      </c>
      <c r="AQ286" t="s">
        <v>82</v>
      </c>
      <c r="AR286">
        <v>10.455</v>
      </c>
      <c r="AS286">
        <v>180</v>
      </c>
      <c r="AT286" t="s">
        <v>107</v>
      </c>
      <c r="AU286" t="s">
        <v>84</v>
      </c>
      <c r="AV286">
        <v>1</v>
      </c>
      <c r="AW286" t="s">
        <v>85</v>
      </c>
      <c r="AX286" t="s">
        <v>376</v>
      </c>
      <c r="AY286" t="s">
        <v>108</v>
      </c>
      <c r="AZ286" t="s">
        <v>1095</v>
      </c>
      <c r="BA286" t="s">
        <v>224</v>
      </c>
      <c r="BB286" t="s">
        <v>90</v>
      </c>
      <c r="BC286">
        <v>1617</v>
      </c>
      <c r="BD286">
        <v>10101</v>
      </c>
      <c r="BE286">
        <v>9.3789999999999996</v>
      </c>
      <c r="BF286" t="s">
        <v>1094</v>
      </c>
      <c r="BG286" t="s">
        <v>1093</v>
      </c>
      <c r="BH286">
        <v>20250606</v>
      </c>
      <c r="BI286" t="s">
        <v>1092</v>
      </c>
      <c r="BJ286" t="s">
        <v>226</v>
      </c>
      <c r="BL286" t="s">
        <v>886</v>
      </c>
    </row>
    <row r="287" spans="1:64" x14ac:dyDescent="0.2">
      <c r="A287">
        <v>20</v>
      </c>
      <c r="B287">
        <v>6</v>
      </c>
      <c r="C287">
        <v>2025</v>
      </c>
      <c r="D287" t="s">
        <v>1091</v>
      </c>
      <c r="E287">
        <v>3</v>
      </c>
      <c r="F287" t="s">
        <v>65</v>
      </c>
      <c r="G287" t="s">
        <v>66</v>
      </c>
      <c r="H287">
        <v>20550731399</v>
      </c>
      <c r="I287" t="s">
        <v>67</v>
      </c>
      <c r="J287" t="s">
        <v>68</v>
      </c>
      <c r="K287" t="s">
        <v>69</v>
      </c>
      <c r="L287" t="s">
        <v>69</v>
      </c>
      <c r="M287" t="s">
        <v>70</v>
      </c>
      <c r="N287" t="s">
        <v>71</v>
      </c>
      <c r="O287" t="s">
        <v>71</v>
      </c>
      <c r="P287" t="s">
        <v>72</v>
      </c>
      <c r="Q287" t="s">
        <v>73</v>
      </c>
      <c r="R287" t="s">
        <v>228</v>
      </c>
      <c r="S287" t="s">
        <v>74</v>
      </c>
      <c r="T287" t="s">
        <v>163</v>
      </c>
      <c r="U287">
        <v>3926904000</v>
      </c>
      <c r="V287" t="s">
        <v>1090</v>
      </c>
      <c r="W287" t="s">
        <v>1089</v>
      </c>
      <c r="X287" t="s">
        <v>1088</v>
      </c>
      <c r="Y287" t="s">
        <v>1087</v>
      </c>
      <c r="Z287" t="s">
        <v>181</v>
      </c>
      <c r="AA287" t="s">
        <v>1086</v>
      </c>
      <c r="AB287" t="s">
        <v>1085</v>
      </c>
      <c r="AC287" t="s">
        <v>177</v>
      </c>
      <c r="AD287">
        <v>920021</v>
      </c>
      <c r="AE287" t="s">
        <v>181</v>
      </c>
      <c r="AG287">
        <v>69.23</v>
      </c>
      <c r="AH287">
        <v>2.2999999999999998</v>
      </c>
      <c r="AI287">
        <v>1.73</v>
      </c>
      <c r="AJ287">
        <v>73.260000000000005</v>
      </c>
      <c r="AK287">
        <v>4.4000000000000004</v>
      </c>
      <c r="AL287">
        <v>12.43</v>
      </c>
      <c r="AM287">
        <v>1.55</v>
      </c>
      <c r="AN287">
        <v>0.55000000000000004</v>
      </c>
      <c r="AO287">
        <v>0.57999999999999996</v>
      </c>
      <c r="AP287">
        <v>24</v>
      </c>
      <c r="AQ287" t="s">
        <v>82</v>
      </c>
      <c r="AR287">
        <v>3.052</v>
      </c>
      <c r="AS287">
        <v>3</v>
      </c>
      <c r="AT287" t="s">
        <v>83</v>
      </c>
      <c r="AU287" t="s">
        <v>84</v>
      </c>
      <c r="AV287">
        <v>0</v>
      </c>
      <c r="AW287" t="s">
        <v>85</v>
      </c>
      <c r="AY287" t="s">
        <v>1084</v>
      </c>
      <c r="AZ287" t="s">
        <v>169</v>
      </c>
      <c r="BA287" t="s">
        <v>224</v>
      </c>
      <c r="BB287" t="s">
        <v>90</v>
      </c>
      <c r="BC287">
        <v>16258</v>
      </c>
      <c r="BD287">
        <v>20250625</v>
      </c>
      <c r="BE287">
        <v>2.8849999999999998</v>
      </c>
      <c r="BG287" t="s">
        <v>1083</v>
      </c>
      <c r="BH287">
        <v>20250620</v>
      </c>
      <c r="BJ287" t="s">
        <v>226</v>
      </c>
      <c r="BK287" t="s">
        <v>171</v>
      </c>
    </row>
    <row r="288" spans="1:64" x14ac:dyDescent="0.2">
      <c r="A288">
        <v>12</v>
      </c>
      <c r="B288">
        <v>6</v>
      </c>
      <c r="C288">
        <v>2025</v>
      </c>
      <c r="D288">
        <v>243252</v>
      </c>
      <c r="E288">
        <v>11</v>
      </c>
      <c r="F288" t="s">
        <v>279</v>
      </c>
      <c r="G288" t="s">
        <v>66</v>
      </c>
      <c r="H288">
        <v>20550731399</v>
      </c>
      <c r="I288" t="s">
        <v>67</v>
      </c>
      <c r="J288" t="s">
        <v>68</v>
      </c>
      <c r="K288" t="s">
        <v>69</v>
      </c>
      <c r="L288" t="s">
        <v>69</v>
      </c>
      <c r="M288" t="s">
        <v>70</v>
      </c>
      <c r="N288" t="s">
        <v>71</v>
      </c>
      <c r="O288" t="s">
        <v>71</v>
      </c>
      <c r="P288" t="s">
        <v>280</v>
      </c>
      <c r="Q288" t="s">
        <v>73</v>
      </c>
      <c r="R288" t="s">
        <v>74</v>
      </c>
      <c r="S288" t="s">
        <v>74</v>
      </c>
      <c r="T288" t="s">
        <v>1069</v>
      </c>
      <c r="U288">
        <v>8413190000</v>
      </c>
      <c r="V288" t="s">
        <v>100</v>
      </c>
      <c r="W288" t="s">
        <v>1082</v>
      </c>
      <c r="X288" t="s">
        <v>1390</v>
      </c>
      <c r="Z288" t="s">
        <v>1081</v>
      </c>
      <c r="AD288" t="str">
        <f>Tabla1[[#This Row],[DESCRIPCIÓN DE MERCANCÍA 1]]</f>
        <v>WF8103636</v>
      </c>
      <c r="AG288">
        <v>1182.28</v>
      </c>
      <c r="AH288">
        <v>9.56</v>
      </c>
      <c r="AI288">
        <v>11.82</v>
      </c>
      <c r="AJ288">
        <v>1203.6600000000001</v>
      </c>
      <c r="AK288">
        <v>0</v>
      </c>
      <c r="AL288">
        <v>192.59</v>
      </c>
      <c r="AM288">
        <v>24.07</v>
      </c>
      <c r="AN288">
        <v>28.69</v>
      </c>
      <c r="AO288">
        <v>30.2</v>
      </c>
      <c r="AP288">
        <v>1</v>
      </c>
      <c r="AQ288" t="s">
        <v>82</v>
      </c>
      <c r="AR288">
        <v>1203.6590000000001</v>
      </c>
      <c r="AS288">
        <v>1</v>
      </c>
      <c r="AT288" t="s">
        <v>107</v>
      </c>
      <c r="AU288" t="s">
        <v>84</v>
      </c>
      <c r="AV288">
        <v>0</v>
      </c>
      <c r="AW288" t="s">
        <v>85</v>
      </c>
      <c r="AX288" t="s">
        <v>792</v>
      </c>
      <c r="AY288" t="s">
        <v>108</v>
      </c>
      <c r="AZ288" t="s">
        <v>322</v>
      </c>
      <c r="BA288" t="s">
        <v>323</v>
      </c>
      <c r="BB288" t="s">
        <v>90</v>
      </c>
      <c r="BC288">
        <v>1410</v>
      </c>
      <c r="BD288">
        <v>20250616</v>
      </c>
      <c r="BE288">
        <v>1182.28</v>
      </c>
      <c r="BF288" t="s">
        <v>1080</v>
      </c>
      <c r="BG288">
        <v>425600510</v>
      </c>
      <c r="BH288">
        <v>20250606</v>
      </c>
      <c r="BI288" t="s">
        <v>1079</v>
      </c>
      <c r="BJ288" t="s">
        <v>326</v>
      </c>
      <c r="BL288" t="s">
        <v>886</v>
      </c>
    </row>
    <row r="289" spans="1:64" x14ac:dyDescent="0.2">
      <c r="A289">
        <v>11</v>
      </c>
      <c r="B289">
        <v>7</v>
      </c>
      <c r="C289">
        <v>2025</v>
      </c>
      <c r="D289">
        <v>293818</v>
      </c>
      <c r="E289">
        <v>2</v>
      </c>
      <c r="F289" t="s">
        <v>279</v>
      </c>
      <c r="G289" t="s">
        <v>66</v>
      </c>
      <c r="H289">
        <v>20550731399</v>
      </c>
      <c r="I289" t="s">
        <v>67</v>
      </c>
      <c r="J289" t="s">
        <v>68</v>
      </c>
      <c r="K289" t="s">
        <v>69</v>
      </c>
      <c r="L289" t="s">
        <v>69</v>
      </c>
      <c r="M289" t="s">
        <v>70</v>
      </c>
      <c r="N289" t="s">
        <v>71</v>
      </c>
      <c r="O289" t="s">
        <v>71</v>
      </c>
      <c r="P289" t="s">
        <v>280</v>
      </c>
      <c r="Q289" t="s">
        <v>73</v>
      </c>
      <c r="R289" t="s">
        <v>74</v>
      </c>
      <c r="S289" t="s">
        <v>74</v>
      </c>
      <c r="T289" t="s">
        <v>1069</v>
      </c>
      <c r="U289">
        <v>8425190000</v>
      </c>
      <c r="V289" t="s">
        <v>314</v>
      </c>
      <c r="W289" t="s">
        <v>1078</v>
      </c>
      <c r="X289" t="s">
        <v>1077</v>
      </c>
      <c r="Y289" t="s">
        <v>317</v>
      </c>
      <c r="Z289" t="s">
        <v>1066</v>
      </c>
      <c r="AD289" t="str">
        <f>Tabla1[[#This Row],[DESCRIPCIÓN DE MERCANCÍA 1]]</f>
        <v>12-1202-342</v>
      </c>
      <c r="AG289">
        <v>8846.7800000000007</v>
      </c>
      <c r="AH289">
        <v>33.619999999999997</v>
      </c>
      <c r="AI289">
        <v>35.43</v>
      </c>
      <c r="AJ289">
        <v>8915.83</v>
      </c>
      <c r="AK289">
        <v>0</v>
      </c>
      <c r="AL289">
        <v>1426.53</v>
      </c>
      <c r="AM289">
        <v>178.32</v>
      </c>
      <c r="AN289">
        <v>186.35</v>
      </c>
      <c r="AO289">
        <v>241.45</v>
      </c>
      <c r="AP289">
        <v>1</v>
      </c>
      <c r="AQ289" t="s">
        <v>82</v>
      </c>
      <c r="AR289">
        <v>8915.8259999999991</v>
      </c>
      <c r="AS289">
        <v>1</v>
      </c>
      <c r="AT289" t="s">
        <v>107</v>
      </c>
      <c r="AU289" t="s">
        <v>84</v>
      </c>
      <c r="AV289">
        <v>0</v>
      </c>
      <c r="AW289" t="s">
        <v>85</v>
      </c>
      <c r="AX289" t="s">
        <v>1065</v>
      </c>
      <c r="AY289" t="s">
        <v>108</v>
      </c>
      <c r="AZ289" t="s">
        <v>1064</v>
      </c>
      <c r="BA289" t="s">
        <v>323</v>
      </c>
      <c r="BB289" t="s">
        <v>90</v>
      </c>
      <c r="BC289">
        <v>1705</v>
      </c>
      <c r="BD289">
        <v>20250718</v>
      </c>
      <c r="BE289">
        <v>8846.7800000000007</v>
      </c>
      <c r="BF289" t="s">
        <v>1063</v>
      </c>
      <c r="BG289">
        <v>425600579</v>
      </c>
      <c r="BH289">
        <v>20250705</v>
      </c>
      <c r="BI289" t="s">
        <v>1062</v>
      </c>
      <c r="BJ289" t="s">
        <v>326</v>
      </c>
      <c r="BL289" t="s">
        <v>886</v>
      </c>
    </row>
    <row r="290" spans="1:64" x14ac:dyDescent="0.2">
      <c r="A290">
        <v>11</v>
      </c>
      <c r="B290">
        <v>7</v>
      </c>
      <c r="C290">
        <v>2025</v>
      </c>
      <c r="D290">
        <v>293818</v>
      </c>
      <c r="E290">
        <v>3</v>
      </c>
      <c r="F290" t="s">
        <v>279</v>
      </c>
      <c r="G290" t="s">
        <v>66</v>
      </c>
      <c r="H290">
        <v>20550731399</v>
      </c>
      <c r="I290" t="s">
        <v>67</v>
      </c>
      <c r="J290" t="s">
        <v>68</v>
      </c>
      <c r="K290" t="s">
        <v>69</v>
      </c>
      <c r="L290" t="s">
        <v>69</v>
      </c>
      <c r="M290" t="s">
        <v>70</v>
      </c>
      <c r="N290" t="s">
        <v>71</v>
      </c>
      <c r="O290" t="s">
        <v>71</v>
      </c>
      <c r="P290" t="s">
        <v>280</v>
      </c>
      <c r="Q290" t="s">
        <v>73</v>
      </c>
      <c r="R290" t="s">
        <v>74</v>
      </c>
      <c r="S290" t="s">
        <v>74</v>
      </c>
      <c r="T290" t="s">
        <v>1069</v>
      </c>
      <c r="U290">
        <v>8425190000</v>
      </c>
      <c r="V290" t="s">
        <v>314</v>
      </c>
      <c r="W290" t="s">
        <v>1076</v>
      </c>
      <c r="X290" t="s">
        <v>1075</v>
      </c>
      <c r="Y290" t="s">
        <v>317</v>
      </c>
      <c r="Z290" t="s">
        <v>1066</v>
      </c>
      <c r="AD290" t="str">
        <f>Tabla1[[#This Row],[DESCRIPCIÓN DE MERCANCÍA 1]]</f>
        <v>12-0274-00237</v>
      </c>
      <c r="AG290">
        <v>4553.76</v>
      </c>
      <c r="AH290">
        <v>17.3</v>
      </c>
      <c r="AI290">
        <v>18.239999999999998</v>
      </c>
      <c r="AJ290">
        <v>4589.3</v>
      </c>
      <c r="AK290">
        <v>0</v>
      </c>
      <c r="AL290">
        <v>734.29</v>
      </c>
      <c r="AM290">
        <v>91.79</v>
      </c>
      <c r="AN290">
        <v>95.92</v>
      </c>
      <c r="AO290">
        <v>124.28</v>
      </c>
      <c r="AP290">
        <v>1</v>
      </c>
      <c r="AQ290" t="s">
        <v>82</v>
      </c>
      <c r="AR290">
        <v>4589.3</v>
      </c>
      <c r="AS290">
        <v>1</v>
      </c>
      <c r="AT290" t="s">
        <v>107</v>
      </c>
      <c r="AU290" t="s">
        <v>84</v>
      </c>
      <c r="AV290">
        <v>0</v>
      </c>
      <c r="AW290" t="s">
        <v>85</v>
      </c>
      <c r="AX290" t="s">
        <v>1065</v>
      </c>
      <c r="AY290" t="s">
        <v>108</v>
      </c>
      <c r="AZ290" t="s">
        <v>1064</v>
      </c>
      <c r="BA290" t="s">
        <v>323</v>
      </c>
      <c r="BB290" t="s">
        <v>90</v>
      </c>
      <c r="BC290">
        <v>1705</v>
      </c>
      <c r="BD290">
        <v>20250718</v>
      </c>
      <c r="BE290">
        <v>4553.76</v>
      </c>
      <c r="BF290" t="s">
        <v>1063</v>
      </c>
      <c r="BG290">
        <v>425600579</v>
      </c>
      <c r="BH290">
        <v>20250705</v>
      </c>
      <c r="BI290" t="s">
        <v>1062</v>
      </c>
      <c r="BJ290" t="s">
        <v>326</v>
      </c>
      <c r="BL290" t="s">
        <v>886</v>
      </c>
    </row>
    <row r="291" spans="1:64" x14ac:dyDescent="0.2">
      <c r="A291">
        <v>18</v>
      </c>
      <c r="B291">
        <v>7</v>
      </c>
      <c r="C291">
        <v>2025</v>
      </c>
      <c r="D291">
        <v>115827</v>
      </c>
      <c r="E291">
        <v>4</v>
      </c>
      <c r="F291" t="s">
        <v>65</v>
      </c>
      <c r="G291" t="s">
        <v>66</v>
      </c>
      <c r="H291">
        <v>20550731399</v>
      </c>
      <c r="I291" t="s">
        <v>67</v>
      </c>
      <c r="J291" t="s">
        <v>68</v>
      </c>
      <c r="K291" t="s">
        <v>69</v>
      </c>
      <c r="L291" t="s">
        <v>69</v>
      </c>
      <c r="M291" t="s">
        <v>70</v>
      </c>
      <c r="N291" t="s">
        <v>71</v>
      </c>
      <c r="O291" t="s">
        <v>71</v>
      </c>
      <c r="P291" t="s">
        <v>72</v>
      </c>
      <c r="Q291" t="s">
        <v>73</v>
      </c>
      <c r="R291" t="s">
        <v>74</v>
      </c>
      <c r="S291" t="s">
        <v>74</v>
      </c>
      <c r="T291" t="s">
        <v>163</v>
      </c>
      <c r="U291">
        <v>8413919000</v>
      </c>
      <c r="V291" t="s">
        <v>229</v>
      </c>
      <c r="W291" t="s">
        <v>1074</v>
      </c>
      <c r="X291" t="s">
        <v>1060</v>
      </c>
      <c r="Z291" t="s">
        <v>1073</v>
      </c>
      <c r="AD291" t="s">
        <v>1393</v>
      </c>
      <c r="AG291">
        <v>3442.67</v>
      </c>
      <c r="AH291">
        <v>99.17</v>
      </c>
      <c r="AI291">
        <v>34.43</v>
      </c>
      <c r="AJ291">
        <v>3576.27</v>
      </c>
      <c r="AK291">
        <v>0</v>
      </c>
      <c r="AL291">
        <v>572.20000000000005</v>
      </c>
      <c r="AM291">
        <v>71.53</v>
      </c>
      <c r="AN291">
        <v>19.170000000000002</v>
      </c>
      <c r="AO291">
        <v>20.38</v>
      </c>
      <c r="AP291">
        <v>5</v>
      </c>
      <c r="AQ291" t="s">
        <v>82</v>
      </c>
      <c r="AR291">
        <v>715.25400000000002</v>
      </c>
      <c r="AS291">
        <v>5</v>
      </c>
      <c r="AT291" t="s">
        <v>107</v>
      </c>
      <c r="AU291" t="s">
        <v>84</v>
      </c>
      <c r="AV291">
        <v>0</v>
      </c>
      <c r="AW291" t="s">
        <v>85</v>
      </c>
      <c r="AX291" t="s">
        <v>1059</v>
      </c>
      <c r="AY291" t="s">
        <v>108</v>
      </c>
      <c r="BA291" t="s">
        <v>170</v>
      </c>
      <c r="BB291" t="s">
        <v>90</v>
      </c>
      <c r="BC291">
        <v>19827</v>
      </c>
      <c r="BD291">
        <v>20250725</v>
      </c>
      <c r="BE291">
        <v>688.53399999999999</v>
      </c>
      <c r="BG291">
        <v>425200749</v>
      </c>
      <c r="BH291">
        <v>20250714</v>
      </c>
      <c r="BJ291" t="s">
        <v>112</v>
      </c>
      <c r="BL291" t="s">
        <v>886</v>
      </c>
    </row>
    <row r="292" spans="1:64" x14ac:dyDescent="0.2">
      <c r="A292">
        <v>18</v>
      </c>
      <c r="B292">
        <v>7</v>
      </c>
      <c r="C292">
        <v>2025</v>
      </c>
      <c r="D292">
        <v>115827</v>
      </c>
      <c r="E292">
        <v>3</v>
      </c>
      <c r="F292" t="s">
        <v>65</v>
      </c>
      <c r="G292" t="s">
        <v>66</v>
      </c>
      <c r="H292">
        <v>20550731399</v>
      </c>
      <c r="I292" t="s">
        <v>67</v>
      </c>
      <c r="J292" t="s">
        <v>68</v>
      </c>
      <c r="K292" t="s">
        <v>69</v>
      </c>
      <c r="L292" t="s">
        <v>69</v>
      </c>
      <c r="M292" t="s">
        <v>70</v>
      </c>
      <c r="N292" t="s">
        <v>71</v>
      </c>
      <c r="O292" t="s">
        <v>71</v>
      </c>
      <c r="P292" t="s">
        <v>72</v>
      </c>
      <c r="Q292" t="s">
        <v>73</v>
      </c>
      <c r="R292" t="s">
        <v>74</v>
      </c>
      <c r="S292" t="s">
        <v>74</v>
      </c>
      <c r="T292" t="s">
        <v>163</v>
      </c>
      <c r="U292">
        <v>8412290000</v>
      </c>
      <c r="V292" t="s">
        <v>164</v>
      </c>
      <c r="W292" t="s">
        <v>1072</v>
      </c>
      <c r="X292" t="s">
        <v>1060</v>
      </c>
      <c r="Z292" t="s">
        <v>1071</v>
      </c>
      <c r="AD292" t="s">
        <v>342</v>
      </c>
      <c r="AG292">
        <v>626.89</v>
      </c>
      <c r="AH292">
        <v>18.059999999999999</v>
      </c>
      <c r="AI292">
        <v>6.27</v>
      </c>
      <c r="AJ292">
        <v>651.22</v>
      </c>
      <c r="AK292">
        <v>0</v>
      </c>
      <c r="AL292">
        <v>104.2</v>
      </c>
      <c r="AM292">
        <v>13.02</v>
      </c>
      <c r="AN292">
        <v>3.49</v>
      </c>
      <c r="AO292">
        <v>3.71</v>
      </c>
      <c r="AP292">
        <v>15</v>
      </c>
      <c r="AQ292" t="s">
        <v>82</v>
      </c>
      <c r="AR292">
        <v>43.414999999999999</v>
      </c>
      <c r="AS292">
        <v>15</v>
      </c>
      <c r="AT292" t="s">
        <v>107</v>
      </c>
      <c r="AU292" t="s">
        <v>84</v>
      </c>
      <c r="AV292">
        <v>0</v>
      </c>
      <c r="AW292" t="s">
        <v>85</v>
      </c>
      <c r="AX292" t="s">
        <v>1059</v>
      </c>
      <c r="AY292" t="s">
        <v>108</v>
      </c>
      <c r="BA292" t="s">
        <v>170</v>
      </c>
      <c r="BB292" t="s">
        <v>90</v>
      </c>
      <c r="BC292">
        <v>19827</v>
      </c>
      <c r="BD292">
        <v>20250725</v>
      </c>
      <c r="BE292">
        <v>41.792999999999999</v>
      </c>
      <c r="BG292">
        <v>425200749</v>
      </c>
      <c r="BH292">
        <v>20250714</v>
      </c>
      <c r="BJ292" t="s">
        <v>112</v>
      </c>
      <c r="BL292" t="s">
        <v>886</v>
      </c>
    </row>
    <row r="293" spans="1:64" x14ac:dyDescent="0.2">
      <c r="A293">
        <v>18</v>
      </c>
      <c r="B293">
        <v>7</v>
      </c>
      <c r="C293">
        <v>2025</v>
      </c>
      <c r="D293">
        <v>115827</v>
      </c>
      <c r="E293">
        <v>1</v>
      </c>
      <c r="F293" t="s">
        <v>65</v>
      </c>
      <c r="G293" t="s">
        <v>66</v>
      </c>
      <c r="H293">
        <v>20550731399</v>
      </c>
      <c r="I293" t="s">
        <v>67</v>
      </c>
      <c r="J293" t="s">
        <v>68</v>
      </c>
      <c r="K293" t="s">
        <v>69</v>
      </c>
      <c r="L293" t="s">
        <v>69</v>
      </c>
      <c r="M293" t="s">
        <v>70</v>
      </c>
      <c r="N293" t="s">
        <v>71</v>
      </c>
      <c r="O293" t="s">
        <v>71</v>
      </c>
      <c r="P293" t="s">
        <v>72</v>
      </c>
      <c r="Q293" t="s">
        <v>73</v>
      </c>
      <c r="R293" t="s">
        <v>74</v>
      </c>
      <c r="S293" t="s">
        <v>74</v>
      </c>
      <c r="T293" t="s">
        <v>163</v>
      </c>
      <c r="U293">
        <v>8412290000</v>
      </c>
      <c r="V293" t="s">
        <v>164</v>
      </c>
      <c r="W293" t="s">
        <v>831</v>
      </c>
      <c r="X293" t="s">
        <v>870</v>
      </c>
      <c r="Z293" t="s">
        <v>1070</v>
      </c>
      <c r="AD293" t="s">
        <v>833</v>
      </c>
      <c r="AG293">
        <v>1922.46</v>
      </c>
      <c r="AH293">
        <v>55.38</v>
      </c>
      <c r="AI293">
        <v>19.23</v>
      </c>
      <c r="AJ293">
        <v>1997.07</v>
      </c>
      <c r="AK293">
        <v>0</v>
      </c>
      <c r="AL293">
        <v>319.52999999999997</v>
      </c>
      <c r="AM293">
        <v>39.94</v>
      </c>
      <c r="AN293">
        <v>10.7</v>
      </c>
      <c r="AO293">
        <v>11.38</v>
      </c>
      <c r="AP293">
        <v>20</v>
      </c>
      <c r="AQ293" t="s">
        <v>82</v>
      </c>
      <c r="AR293">
        <v>99.852999999999994</v>
      </c>
      <c r="AS293">
        <v>20</v>
      </c>
      <c r="AT293" t="s">
        <v>107</v>
      </c>
      <c r="AU293" t="s">
        <v>84</v>
      </c>
      <c r="AV293">
        <v>1</v>
      </c>
      <c r="AW293" t="s">
        <v>85</v>
      </c>
      <c r="AX293" t="s">
        <v>1059</v>
      </c>
      <c r="AY293" t="s">
        <v>108</v>
      </c>
      <c r="BA293" t="s">
        <v>170</v>
      </c>
      <c r="BB293" t="s">
        <v>90</v>
      </c>
      <c r="BC293">
        <v>19827</v>
      </c>
      <c r="BD293">
        <v>20250725</v>
      </c>
      <c r="BE293">
        <v>96.123000000000005</v>
      </c>
      <c r="BG293">
        <v>425200749</v>
      </c>
      <c r="BH293">
        <v>20250714</v>
      </c>
      <c r="BJ293" t="s">
        <v>112</v>
      </c>
      <c r="BL293" t="s">
        <v>886</v>
      </c>
    </row>
    <row r="294" spans="1:64" x14ac:dyDescent="0.2">
      <c r="A294">
        <v>11</v>
      </c>
      <c r="B294">
        <v>7</v>
      </c>
      <c r="C294">
        <v>2025</v>
      </c>
      <c r="D294">
        <v>293818</v>
      </c>
      <c r="E294">
        <v>1</v>
      </c>
      <c r="F294" t="s">
        <v>279</v>
      </c>
      <c r="G294" t="s">
        <v>66</v>
      </c>
      <c r="H294">
        <v>20550731399</v>
      </c>
      <c r="I294" t="s">
        <v>67</v>
      </c>
      <c r="J294" t="s">
        <v>68</v>
      </c>
      <c r="K294" t="s">
        <v>69</v>
      </c>
      <c r="L294" t="s">
        <v>69</v>
      </c>
      <c r="M294" t="s">
        <v>70</v>
      </c>
      <c r="N294" t="s">
        <v>71</v>
      </c>
      <c r="O294" t="s">
        <v>71</v>
      </c>
      <c r="P294" t="s">
        <v>280</v>
      </c>
      <c r="Q294" t="s">
        <v>73</v>
      </c>
      <c r="R294" t="s">
        <v>74</v>
      </c>
      <c r="S294" t="s">
        <v>74</v>
      </c>
      <c r="T294" t="s">
        <v>1069</v>
      </c>
      <c r="U294">
        <v>8425190000</v>
      </c>
      <c r="V294" t="s">
        <v>314</v>
      </c>
      <c r="W294" t="s">
        <v>1068</v>
      </c>
      <c r="X294" t="s">
        <v>1067</v>
      </c>
      <c r="Y294" t="s">
        <v>317</v>
      </c>
      <c r="Z294" t="s">
        <v>1066</v>
      </c>
      <c r="AD294" t="str">
        <f>Tabla1[[#This Row],[DESCRIPCIÓN DE MERCANCÍA 1]]</f>
        <v>12-0701-00119. 0121. 0123</v>
      </c>
      <c r="AG294">
        <v>61748.26</v>
      </c>
      <c r="AH294">
        <v>235.28</v>
      </c>
      <c r="AI294">
        <v>247.96</v>
      </c>
      <c r="AJ294">
        <v>62231.49</v>
      </c>
      <c r="AK294">
        <v>0</v>
      </c>
      <c r="AL294">
        <v>9957.0400000000009</v>
      </c>
      <c r="AM294">
        <v>1244.6300000000001</v>
      </c>
      <c r="AN294">
        <v>1304.23</v>
      </c>
      <c r="AO294">
        <v>1685.27</v>
      </c>
      <c r="AP294">
        <v>3</v>
      </c>
      <c r="AQ294" t="s">
        <v>82</v>
      </c>
      <c r="AR294">
        <v>20743.830999999998</v>
      </c>
      <c r="AS294">
        <v>3</v>
      </c>
      <c r="AT294" t="s">
        <v>107</v>
      </c>
      <c r="AU294" t="s">
        <v>84</v>
      </c>
      <c r="AV294">
        <v>4</v>
      </c>
      <c r="AW294" t="s">
        <v>85</v>
      </c>
      <c r="AX294" t="s">
        <v>1065</v>
      </c>
      <c r="AY294" t="s">
        <v>108</v>
      </c>
      <c r="AZ294" t="s">
        <v>1064</v>
      </c>
      <c r="BA294" t="s">
        <v>323</v>
      </c>
      <c r="BB294" t="s">
        <v>90</v>
      </c>
      <c r="BC294">
        <v>1705</v>
      </c>
      <c r="BD294">
        <v>20250718</v>
      </c>
      <c r="BE294">
        <v>20582.753000000001</v>
      </c>
      <c r="BF294" t="s">
        <v>1063</v>
      </c>
      <c r="BG294">
        <v>425600579</v>
      </c>
      <c r="BH294">
        <v>20250705</v>
      </c>
      <c r="BI294" t="s">
        <v>1062</v>
      </c>
      <c r="BJ294" t="s">
        <v>326</v>
      </c>
      <c r="BL294" t="s">
        <v>886</v>
      </c>
    </row>
    <row r="295" spans="1:64" x14ac:dyDescent="0.2">
      <c r="A295">
        <v>18</v>
      </c>
      <c r="B295">
        <v>7</v>
      </c>
      <c r="C295">
        <v>2025</v>
      </c>
      <c r="D295">
        <v>115827</v>
      </c>
      <c r="E295">
        <v>2</v>
      </c>
      <c r="F295" t="s">
        <v>65</v>
      </c>
      <c r="G295" t="s">
        <v>66</v>
      </c>
      <c r="H295">
        <v>20550731399</v>
      </c>
      <c r="I295" t="s">
        <v>67</v>
      </c>
      <c r="J295" t="s">
        <v>68</v>
      </c>
      <c r="K295" t="s">
        <v>69</v>
      </c>
      <c r="L295" t="s">
        <v>69</v>
      </c>
      <c r="M295" t="s">
        <v>70</v>
      </c>
      <c r="N295" t="s">
        <v>71</v>
      </c>
      <c r="O295" t="s">
        <v>71</v>
      </c>
      <c r="P295" t="s">
        <v>72</v>
      </c>
      <c r="Q295" t="s">
        <v>73</v>
      </c>
      <c r="R295" t="s">
        <v>74</v>
      </c>
      <c r="S295" t="s">
        <v>74</v>
      </c>
      <c r="T295" t="s">
        <v>163</v>
      </c>
      <c r="U295">
        <v>8412290000</v>
      </c>
      <c r="V295" t="s">
        <v>164</v>
      </c>
      <c r="W295" t="s">
        <v>1061</v>
      </c>
      <c r="X295" t="s">
        <v>1060</v>
      </c>
      <c r="Z295" t="s">
        <v>422</v>
      </c>
      <c r="AD295" t="s">
        <v>344</v>
      </c>
      <c r="AG295">
        <v>4074.79</v>
      </c>
      <c r="AH295">
        <v>117.39</v>
      </c>
      <c r="AI295">
        <v>40.75</v>
      </c>
      <c r="AJ295">
        <v>4232.92</v>
      </c>
      <c r="AK295">
        <v>0</v>
      </c>
      <c r="AL295">
        <v>677.27</v>
      </c>
      <c r="AM295">
        <v>84.66</v>
      </c>
      <c r="AN295">
        <v>22.69</v>
      </c>
      <c r="AO295">
        <v>24.13</v>
      </c>
      <c r="AP295">
        <v>100</v>
      </c>
      <c r="AQ295" t="s">
        <v>82</v>
      </c>
      <c r="AR295">
        <v>42.329000000000001</v>
      </c>
      <c r="AS295">
        <v>100</v>
      </c>
      <c r="AT295" t="s">
        <v>107</v>
      </c>
      <c r="AU295" t="s">
        <v>84</v>
      </c>
      <c r="AV295">
        <v>0</v>
      </c>
      <c r="AW295" t="s">
        <v>85</v>
      </c>
      <c r="AX295" t="s">
        <v>1059</v>
      </c>
      <c r="AY295" t="s">
        <v>108</v>
      </c>
      <c r="BA295" t="s">
        <v>170</v>
      </c>
      <c r="BB295" t="s">
        <v>90</v>
      </c>
      <c r="BC295">
        <v>19827</v>
      </c>
      <c r="BD295">
        <v>20250725</v>
      </c>
      <c r="BE295">
        <v>40.747999999999998</v>
      </c>
      <c r="BG295">
        <v>425200749</v>
      </c>
      <c r="BH295">
        <v>20250714</v>
      </c>
      <c r="BJ295" t="s">
        <v>112</v>
      </c>
      <c r="BL295" t="s">
        <v>886</v>
      </c>
    </row>
    <row r="296" spans="1:64" x14ac:dyDescent="0.2">
      <c r="A296">
        <v>12</v>
      </c>
      <c r="B296">
        <v>8</v>
      </c>
      <c r="C296">
        <v>2025</v>
      </c>
      <c r="D296">
        <v>129394</v>
      </c>
      <c r="E296">
        <v>4</v>
      </c>
      <c r="F296" t="s">
        <v>65</v>
      </c>
      <c r="G296" t="s">
        <v>66</v>
      </c>
      <c r="H296">
        <v>20550731399</v>
      </c>
      <c r="I296" t="s">
        <v>67</v>
      </c>
      <c r="J296" t="s">
        <v>68</v>
      </c>
      <c r="K296" t="s">
        <v>69</v>
      </c>
      <c r="L296" t="s">
        <v>69</v>
      </c>
      <c r="M296" t="s">
        <v>70</v>
      </c>
      <c r="N296" t="s">
        <v>71</v>
      </c>
      <c r="O296" t="s">
        <v>71</v>
      </c>
      <c r="P296" t="s">
        <v>72</v>
      </c>
      <c r="Q296" t="s">
        <v>73</v>
      </c>
      <c r="R296" t="s">
        <v>74</v>
      </c>
      <c r="S296" t="s">
        <v>74</v>
      </c>
      <c r="T296" t="s">
        <v>163</v>
      </c>
      <c r="U296">
        <v>8413919000</v>
      </c>
      <c r="V296" t="s">
        <v>229</v>
      </c>
      <c r="W296" t="s">
        <v>1058</v>
      </c>
      <c r="X296" t="s">
        <v>1057</v>
      </c>
      <c r="Y296" t="s">
        <v>1056</v>
      </c>
      <c r="Z296" t="s">
        <v>1026</v>
      </c>
      <c r="AD296" t="s">
        <v>1391</v>
      </c>
      <c r="AG296">
        <v>694.69</v>
      </c>
      <c r="AH296">
        <v>17.28</v>
      </c>
      <c r="AI296">
        <v>6.95</v>
      </c>
      <c r="AJ296">
        <v>718.92</v>
      </c>
      <c r="AK296">
        <v>0</v>
      </c>
      <c r="AL296">
        <v>115.03</v>
      </c>
      <c r="AM296">
        <v>14.38</v>
      </c>
      <c r="AN296">
        <v>10.58</v>
      </c>
      <c r="AO296">
        <v>11.08</v>
      </c>
      <c r="AP296">
        <v>2</v>
      </c>
      <c r="AQ296" t="s">
        <v>82</v>
      </c>
      <c r="AR296">
        <v>359.459</v>
      </c>
      <c r="AS296">
        <v>2</v>
      </c>
      <c r="AT296" t="s">
        <v>107</v>
      </c>
      <c r="AU296" t="s">
        <v>84</v>
      </c>
      <c r="AV296">
        <v>0</v>
      </c>
      <c r="AW296" t="s">
        <v>85</v>
      </c>
      <c r="AX296" t="s">
        <v>792</v>
      </c>
      <c r="AY296" t="s">
        <v>108</v>
      </c>
      <c r="BA296" t="s">
        <v>170</v>
      </c>
      <c r="BB296" t="s">
        <v>90</v>
      </c>
      <c r="BC296">
        <v>19828</v>
      </c>
      <c r="BD296">
        <v>20250813</v>
      </c>
      <c r="BE296">
        <v>347.34500000000003</v>
      </c>
      <c r="BG296" t="s">
        <v>1005</v>
      </c>
      <c r="BH296">
        <v>20250812</v>
      </c>
      <c r="BJ296" t="s">
        <v>1004</v>
      </c>
      <c r="BL296" t="s">
        <v>886</v>
      </c>
    </row>
    <row r="297" spans="1:64" x14ac:dyDescent="0.2">
      <c r="A297">
        <v>15</v>
      </c>
      <c r="B297">
        <v>8</v>
      </c>
      <c r="C297">
        <v>2025</v>
      </c>
      <c r="D297">
        <v>345956</v>
      </c>
      <c r="E297">
        <v>2</v>
      </c>
      <c r="F297" t="s">
        <v>279</v>
      </c>
      <c r="G297" t="s">
        <v>66</v>
      </c>
      <c r="H297">
        <v>20550731399</v>
      </c>
      <c r="I297" t="s">
        <v>67</v>
      </c>
      <c r="J297" t="s">
        <v>68</v>
      </c>
      <c r="K297" t="s">
        <v>69</v>
      </c>
      <c r="L297" t="s">
        <v>69</v>
      </c>
      <c r="M297" t="s">
        <v>70</v>
      </c>
      <c r="N297" t="s">
        <v>71</v>
      </c>
      <c r="O297" t="s">
        <v>71</v>
      </c>
      <c r="P297" t="s">
        <v>280</v>
      </c>
      <c r="Q297" t="s">
        <v>73</v>
      </c>
      <c r="R297" t="s">
        <v>74</v>
      </c>
      <c r="S297" t="s">
        <v>74</v>
      </c>
      <c r="T297" t="s">
        <v>163</v>
      </c>
      <c r="U297">
        <v>8483500000</v>
      </c>
      <c r="V297" t="s">
        <v>328</v>
      </c>
      <c r="W297" t="s">
        <v>1055</v>
      </c>
      <c r="X297" t="s">
        <v>1054</v>
      </c>
      <c r="Y297" t="s">
        <v>1023</v>
      </c>
      <c r="Z297" t="s">
        <v>851</v>
      </c>
      <c r="AA297" t="s">
        <v>1053</v>
      </c>
      <c r="AD297" t="str">
        <f>Tabla1[[#This Row],[DESCRIPCIÓN DE MERCANCÍA 1]]</f>
        <v>VKF 5414-4110/18</v>
      </c>
      <c r="AG297">
        <v>15978.69</v>
      </c>
      <c r="AH297">
        <v>76.47</v>
      </c>
      <c r="AI297">
        <v>159.79</v>
      </c>
      <c r="AJ297">
        <v>16214.95</v>
      </c>
      <c r="AK297">
        <v>0</v>
      </c>
      <c r="AL297">
        <v>2594.39</v>
      </c>
      <c r="AM297">
        <v>324.3</v>
      </c>
      <c r="AN297">
        <v>176.68</v>
      </c>
      <c r="AO297">
        <v>184.14</v>
      </c>
      <c r="AP297">
        <v>2</v>
      </c>
      <c r="AQ297" t="s">
        <v>82</v>
      </c>
      <c r="AR297">
        <v>8107.4740000000002</v>
      </c>
      <c r="AS297">
        <v>2</v>
      </c>
      <c r="AT297" t="s">
        <v>107</v>
      </c>
      <c r="AU297" t="s">
        <v>84</v>
      </c>
      <c r="AV297">
        <v>0</v>
      </c>
      <c r="AW297" t="s">
        <v>85</v>
      </c>
      <c r="AX297" t="s">
        <v>215</v>
      </c>
      <c r="AY297" t="s">
        <v>108</v>
      </c>
      <c r="AZ297" t="s">
        <v>1021</v>
      </c>
      <c r="BA297" t="s">
        <v>323</v>
      </c>
      <c r="BB297" t="s">
        <v>90</v>
      </c>
      <c r="BC297">
        <v>1898</v>
      </c>
      <c r="BD297">
        <v>20250817</v>
      </c>
      <c r="BE297">
        <v>7989.3450000000003</v>
      </c>
      <c r="BF297" t="s">
        <v>1020</v>
      </c>
      <c r="BG297">
        <v>425600690</v>
      </c>
      <c r="BH297">
        <v>20250801</v>
      </c>
      <c r="BI297" t="s">
        <v>1019</v>
      </c>
      <c r="BJ297" t="s">
        <v>326</v>
      </c>
      <c r="BK297" t="s">
        <v>171</v>
      </c>
      <c r="BL297" t="s">
        <v>886</v>
      </c>
    </row>
    <row r="298" spans="1:64" x14ac:dyDescent="0.2">
      <c r="A298">
        <v>15</v>
      </c>
      <c r="B298">
        <v>8</v>
      </c>
      <c r="C298">
        <v>2025</v>
      </c>
      <c r="D298">
        <v>132114</v>
      </c>
      <c r="E298">
        <v>4</v>
      </c>
      <c r="F298" t="s">
        <v>65</v>
      </c>
      <c r="G298" t="s">
        <v>66</v>
      </c>
      <c r="H298">
        <v>20550731399</v>
      </c>
      <c r="I298" t="s">
        <v>67</v>
      </c>
      <c r="J298" t="s">
        <v>68</v>
      </c>
      <c r="K298" t="s">
        <v>69</v>
      </c>
      <c r="L298" t="s">
        <v>69</v>
      </c>
      <c r="M298" t="s">
        <v>70</v>
      </c>
      <c r="N298" t="s">
        <v>71</v>
      </c>
      <c r="O298" t="s">
        <v>71</v>
      </c>
      <c r="P298" t="s">
        <v>72</v>
      </c>
      <c r="Q298" t="s">
        <v>73</v>
      </c>
      <c r="R298" t="s">
        <v>1003</v>
      </c>
      <c r="S298" t="s">
        <v>74</v>
      </c>
      <c r="T298" t="s">
        <v>163</v>
      </c>
      <c r="U298">
        <v>8302490000</v>
      </c>
      <c r="V298" t="s">
        <v>1002</v>
      </c>
      <c r="W298" t="s">
        <v>1001</v>
      </c>
      <c r="X298" t="s">
        <v>1000</v>
      </c>
      <c r="Y298" t="s">
        <v>999</v>
      </c>
      <c r="Z298" t="s">
        <v>997</v>
      </c>
      <c r="AB298" t="s">
        <v>997</v>
      </c>
      <c r="AC298" t="s">
        <v>214</v>
      </c>
      <c r="AD298" t="s">
        <v>998</v>
      </c>
      <c r="AE298" t="s">
        <v>997</v>
      </c>
      <c r="AG298">
        <v>302.36</v>
      </c>
      <c r="AH298">
        <v>8.4499999999999993</v>
      </c>
      <c r="AI298">
        <v>8.31</v>
      </c>
      <c r="AJ298">
        <v>319.12</v>
      </c>
      <c r="AK298">
        <v>0</v>
      </c>
      <c r="AL298">
        <v>51.06</v>
      </c>
      <c r="AM298">
        <v>6.38</v>
      </c>
      <c r="AN298">
        <v>2.0499999999999998</v>
      </c>
      <c r="AO298">
        <v>2.14</v>
      </c>
      <c r="AP298">
        <v>12</v>
      </c>
      <c r="AQ298" t="s">
        <v>82</v>
      </c>
      <c r="AR298">
        <v>26.593</v>
      </c>
      <c r="AS298">
        <v>12</v>
      </c>
      <c r="AT298" t="s">
        <v>107</v>
      </c>
      <c r="AU298" t="s">
        <v>84</v>
      </c>
      <c r="AV298">
        <v>0</v>
      </c>
      <c r="AW298" t="s">
        <v>85</v>
      </c>
      <c r="AX298" t="s">
        <v>215</v>
      </c>
      <c r="AY298" t="s">
        <v>108</v>
      </c>
      <c r="BA298" t="s">
        <v>170</v>
      </c>
      <c r="BB298" t="s">
        <v>90</v>
      </c>
      <c r="BC298">
        <v>23472</v>
      </c>
      <c r="BD298">
        <v>20250817</v>
      </c>
      <c r="BE298">
        <v>25.196999999999999</v>
      </c>
      <c r="BG298">
        <v>425200888</v>
      </c>
      <c r="BH298">
        <v>20250813</v>
      </c>
      <c r="BJ298" t="s">
        <v>112</v>
      </c>
      <c r="BK298" t="s">
        <v>171</v>
      </c>
      <c r="BL298" t="s">
        <v>886</v>
      </c>
    </row>
    <row r="299" spans="1:64" x14ac:dyDescent="0.2">
      <c r="A299">
        <v>15</v>
      </c>
      <c r="B299">
        <v>8</v>
      </c>
      <c r="C299">
        <v>2025</v>
      </c>
      <c r="D299">
        <v>132114</v>
      </c>
      <c r="E299">
        <v>6</v>
      </c>
      <c r="F299" t="s">
        <v>65</v>
      </c>
      <c r="G299" t="s">
        <v>66</v>
      </c>
      <c r="H299">
        <v>20550731399</v>
      </c>
      <c r="I299" t="s">
        <v>67</v>
      </c>
      <c r="J299" t="s">
        <v>68</v>
      </c>
      <c r="K299" t="s">
        <v>69</v>
      </c>
      <c r="L299" t="s">
        <v>69</v>
      </c>
      <c r="M299" t="s">
        <v>70</v>
      </c>
      <c r="N299" t="s">
        <v>71</v>
      </c>
      <c r="O299" t="s">
        <v>71</v>
      </c>
      <c r="P299" t="s">
        <v>72</v>
      </c>
      <c r="Q299" t="s">
        <v>73</v>
      </c>
      <c r="R299" t="s">
        <v>1003</v>
      </c>
      <c r="S299" t="s">
        <v>74</v>
      </c>
      <c r="T299" t="s">
        <v>163</v>
      </c>
      <c r="U299">
        <v>8302490000</v>
      </c>
      <c r="V299" t="s">
        <v>1002</v>
      </c>
      <c r="W299" t="s">
        <v>1052</v>
      </c>
      <c r="X299" t="s">
        <v>1051</v>
      </c>
      <c r="Y299" t="s">
        <v>1042</v>
      </c>
      <c r="Z299" t="s">
        <v>997</v>
      </c>
      <c r="AB299" t="s">
        <v>997</v>
      </c>
      <c r="AC299" t="s">
        <v>214</v>
      </c>
      <c r="AD299" t="s">
        <v>1040</v>
      </c>
      <c r="AE299" t="s">
        <v>997</v>
      </c>
      <c r="AG299">
        <v>456.89</v>
      </c>
      <c r="AH299">
        <v>12.76</v>
      </c>
      <c r="AI299">
        <v>12.56</v>
      </c>
      <c r="AJ299">
        <v>482.21</v>
      </c>
      <c r="AK299">
        <v>0</v>
      </c>
      <c r="AL299">
        <v>77.16</v>
      </c>
      <c r="AM299">
        <v>9.64</v>
      </c>
      <c r="AN299">
        <v>3.09</v>
      </c>
      <c r="AO299">
        <v>3.23</v>
      </c>
      <c r="AP299">
        <v>16</v>
      </c>
      <c r="AQ299" t="s">
        <v>82</v>
      </c>
      <c r="AR299">
        <v>30.138000000000002</v>
      </c>
      <c r="AS299">
        <v>16</v>
      </c>
      <c r="AT299" t="s">
        <v>107</v>
      </c>
      <c r="AU299" t="s">
        <v>84</v>
      </c>
      <c r="AV299">
        <v>0</v>
      </c>
      <c r="AW299" t="s">
        <v>85</v>
      </c>
      <c r="AX299" t="s">
        <v>215</v>
      </c>
      <c r="AY299" t="s">
        <v>108</v>
      </c>
      <c r="BA299" t="s">
        <v>170</v>
      </c>
      <c r="BB299" t="s">
        <v>90</v>
      </c>
      <c r="BC299">
        <v>23472</v>
      </c>
      <c r="BD299">
        <v>20250817</v>
      </c>
      <c r="BE299">
        <v>28.556000000000001</v>
      </c>
      <c r="BG299">
        <v>425200888</v>
      </c>
      <c r="BH299">
        <v>20250813</v>
      </c>
      <c r="BJ299" t="s">
        <v>112</v>
      </c>
      <c r="BK299" t="s">
        <v>171</v>
      </c>
      <c r="BL299" t="s">
        <v>886</v>
      </c>
    </row>
    <row r="300" spans="1:64" x14ac:dyDescent="0.2">
      <c r="A300">
        <v>15</v>
      </c>
      <c r="B300">
        <v>8</v>
      </c>
      <c r="C300">
        <v>2025</v>
      </c>
      <c r="D300">
        <v>132114</v>
      </c>
      <c r="E300">
        <v>2</v>
      </c>
      <c r="F300" t="s">
        <v>65</v>
      </c>
      <c r="G300" t="s">
        <v>66</v>
      </c>
      <c r="H300">
        <v>20550731399</v>
      </c>
      <c r="I300" t="s">
        <v>67</v>
      </c>
      <c r="J300" t="s">
        <v>68</v>
      </c>
      <c r="K300" t="s">
        <v>69</v>
      </c>
      <c r="L300" t="s">
        <v>69</v>
      </c>
      <c r="M300" t="s">
        <v>70</v>
      </c>
      <c r="N300" t="s">
        <v>71</v>
      </c>
      <c r="O300" t="s">
        <v>71</v>
      </c>
      <c r="P300" t="s">
        <v>72</v>
      </c>
      <c r="Q300" t="s">
        <v>73</v>
      </c>
      <c r="R300" t="s">
        <v>1003</v>
      </c>
      <c r="S300" t="s">
        <v>74</v>
      </c>
      <c r="T300" t="s">
        <v>163</v>
      </c>
      <c r="U300">
        <v>8302490000</v>
      </c>
      <c r="V300" t="s">
        <v>1002</v>
      </c>
      <c r="W300" t="s">
        <v>1052</v>
      </c>
      <c r="X300" t="s">
        <v>1051</v>
      </c>
      <c r="Y300" t="s">
        <v>1042</v>
      </c>
      <c r="Z300" t="s">
        <v>997</v>
      </c>
      <c r="AB300" t="s">
        <v>997</v>
      </c>
      <c r="AC300" t="s">
        <v>214</v>
      </c>
      <c r="AD300" t="s">
        <v>1040</v>
      </c>
      <c r="AE300" t="s">
        <v>997</v>
      </c>
      <c r="AG300">
        <v>456.89</v>
      </c>
      <c r="AH300">
        <v>12.76</v>
      </c>
      <c r="AI300">
        <v>12.56</v>
      </c>
      <c r="AJ300">
        <v>482.21</v>
      </c>
      <c r="AK300">
        <v>0</v>
      </c>
      <c r="AL300">
        <v>77.16</v>
      </c>
      <c r="AM300">
        <v>9.64</v>
      </c>
      <c r="AN300">
        <v>3.09</v>
      </c>
      <c r="AO300">
        <v>3.23</v>
      </c>
      <c r="AP300">
        <v>16</v>
      </c>
      <c r="AQ300" t="s">
        <v>82</v>
      </c>
      <c r="AR300">
        <v>30.138000000000002</v>
      </c>
      <c r="AS300">
        <v>16</v>
      </c>
      <c r="AT300" t="s">
        <v>107</v>
      </c>
      <c r="AU300" t="s">
        <v>84</v>
      </c>
      <c r="AV300">
        <v>0</v>
      </c>
      <c r="AW300" t="s">
        <v>85</v>
      </c>
      <c r="AX300" t="s">
        <v>215</v>
      </c>
      <c r="AY300" t="s">
        <v>108</v>
      </c>
      <c r="BA300" t="s">
        <v>170</v>
      </c>
      <c r="BB300" t="s">
        <v>90</v>
      </c>
      <c r="BC300">
        <v>23472</v>
      </c>
      <c r="BD300">
        <v>20250817</v>
      </c>
      <c r="BE300">
        <v>28.556000000000001</v>
      </c>
      <c r="BG300">
        <v>425200888</v>
      </c>
      <c r="BH300">
        <v>20250813</v>
      </c>
      <c r="BJ300" t="s">
        <v>112</v>
      </c>
      <c r="BK300" t="s">
        <v>171</v>
      </c>
      <c r="BL300" t="s">
        <v>886</v>
      </c>
    </row>
    <row r="301" spans="1:64" x14ac:dyDescent="0.2">
      <c r="A301">
        <v>12</v>
      </c>
      <c r="B301">
        <v>8</v>
      </c>
      <c r="C301">
        <v>2025</v>
      </c>
      <c r="D301">
        <v>129394</v>
      </c>
      <c r="E301">
        <v>1</v>
      </c>
      <c r="F301" t="s">
        <v>65</v>
      </c>
      <c r="G301" t="s">
        <v>66</v>
      </c>
      <c r="H301">
        <v>20550731399</v>
      </c>
      <c r="I301" t="s">
        <v>67</v>
      </c>
      <c r="J301" t="s">
        <v>68</v>
      </c>
      <c r="K301" t="s">
        <v>69</v>
      </c>
      <c r="L301" t="s">
        <v>69</v>
      </c>
      <c r="M301" t="s">
        <v>70</v>
      </c>
      <c r="N301" t="s">
        <v>71</v>
      </c>
      <c r="O301" t="s">
        <v>71</v>
      </c>
      <c r="P301" t="s">
        <v>72</v>
      </c>
      <c r="Q301" t="s">
        <v>73</v>
      </c>
      <c r="R301" t="s">
        <v>74</v>
      </c>
      <c r="S301" t="s">
        <v>74</v>
      </c>
      <c r="T301" t="s">
        <v>163</v>
      </c>
      <c r="U301">
        <v>8413919000</v>
      </c>
      <c r="V301" t="s">
        <v>229</v>
      </c>
      <c r="W301" t="s">
        <v>1050</v>
      </c>
      <c r="X301" t="s">
        <v>1049</v>
      </c>
      <c r="Y301" t="s">
        <v>1048</v>
      </c>
      <c r="Z301" t="s">
        <v>1006</v>
      </c>
      <c r="AD301">
        <v>289084</v>
      </c>
      <c r="AG301">
        <v>648.03</v>
      </c>
      <c r="AH301">
        <v>16.12</v>
      </c>
      <c r="AI301">
        <v>6.48</v>
      </c>
      <c r="AJ301">
        <v>670.63</v>
      </c>
      <c r="AK301">
        <v>0</v>
      </c>
      <c r="AL301">
        <v>107.3</v>
      </c>
      <c r="AM301">
        <v>13.41</v>
      </c>
      <c r="AN301">
        <v>9.8699999999999992</v>
      </c>
      <c r="AO301">
        <v>10.34</v>
      </c>
      <c r="AP301">
        <v>5</v>
      </c>
      <c r="AQ301" t="s">
        <v>82</v>
      </c>
      <c r="AR301">
        <v>134.126</v>
      </c>
      <c r="AS301">
        <v>5</v>
      </c>
      <c r="AT301" t="s">
        <v>107</v>
      </c>
      <c r="AU301" t="s">
        <v>84</v>
      </c>
      <c r="AV301">
        <v>1</v>
      </c>
      <c r="AW301" t="s">
        <v>85</v>
      </c>
      <c r="AX301" t="s">
        <v>792</v>
      </c>
      <c r="AY301" t="s">
        <v>108</v>
      </c>
      <c r="BA301" t="s">
        <v>170</v>
      </c>
      <c r="BB301" t="s">
        <v>90</v>
      </c>
      <c r="BC301">
        <v>19828</v>
      </c>
      <c r="BD301">
        <v>20250813</v>
      </c>
      <c r="BE301">
        <v>129.60599999999999</v>
      </c>
      <c r="BG301" t="s">
        <v>1005</v>
      </c>
      <c r="BH301">
        <v>20250812</v>
      </c>
      <c r="BJ301" t="s">
        <v>1004</v>
      </c>
      <c r="BL301" t="s">
        <v>886</v>
      </c>
    </row>
    <row r="302" spans="1:64" x14ac:dyDescent="0.2">
      <c r="A302">
        <v>1</v>
      </c>
      <c r="B302">
        <v>8</v>
      </c>
      <c r="C302">
        <v>2025</v>
      </c>
      <c r="D302">
        <v>123514</v>
      </c>
      <c r="E302">
        <v>1</v>
      </c>
      <c r="F302" t="s">
        <v>65</v>
      </c>
      <c r="G302" t="s">
        <v>66</v>
      </c>
      <c r="H302">
        <v>20550731399</v>
      </c>
      <c r="I302" t="s">
        <v>67</v>
      </c>
      <c r="J302" t="s">
        <v>68</v>
      </c>
      <c r="K302" t="s">
        <v>69</v>
      </c>
      <c r="L302" t="s">
        <v>69</v>
      </c>
      <c r="M302" t="s">
        <v>70</v>
      </c>
      <c r="N302" t="s">
        <v>71</v>
      </c>
      <c r="O302" t="s">
        <v>71</v>
      </c>
      <c r="P302" t="s">
        <v>72</v>
      </c>
      <c r="Q302" t="s">
        <v>73</v>
      </c>
      <c r="R302" t="s">
        <v>98</v>
      </c>
      <c r="S302" t="s">
        <v>74</v>
      </c>
      <c r="T302" t="s">
        <v>350</v>
      </c>
      <c r="U302">
        <v>8483909000</v>
      </c>
      <c r="V302" t="s">
        <v>739</v>
      </c>
      <c r="W302" t="s">
        <v>1015</v>
      </c>
      <c r="X302" t="s">
        <v>1047</v>
      </c>
      <c r="Y302" t="s">
        <v>1046</v>
      </c>
      <c r="Z302" t="s">
        <v>1012</v>
      </c>
      <c r="AA302" t="s">
        <v>1045</v>
      </c>
      <c r="AB302" t="s">
        <v>1012</v>
      </c>
      <c r="AC302" t="s">
        <v>214</v>
      </c>
      <c r="AD302" t="str">
        <f>+Tabla1[[#This Row],[DESCRIPCIÓN DE MERCANCÍA 1]]</f>
        <v>105-02-004-24-000</v>
      </c>
      <c r="AE302" t="s">
        <v>1012</v>
      </c>
      <c r="AG302">
        <v>4379.59</v>
      </c>
      <c r="AH302">
        <v>565.78</v>
      </c>
      <c r="AI302">
        <v>43.8</v>
      </c>
      <c r="AJ302">
        <v>4989.17</v>
      </c>
      <c r="AK302">
        <v>299.35000000000002</v>
      </c>
      <c r="AL302">
        <v>846.16</v>
      </c>
      <c r="AM302">
        <v>105.77</v>
      </c>
      <c r="AN302">
        <v>207.57</v>
      </c>
      <c r="AO302">
        <v>212.2</v>
      </c>
      <c r="AP302">
        <v>8</v>
      </c>
      <c r="AQ302" t="s">
        <v>82</v>
      </c>
      <c r="AR302">
        <v>623.64599999999996</v>
      </c>
      <c r="AS302">
        <v>8</v>
      </c>
      <c r="AT302" t="s">
        <v>107</v>
      </c>
      <c r="AU302" t="s">
        <v>84</v>
      </c>
      <c r="AV302">
        <v>1</v>
      </c>
      <c r="AW302" t="s">
        <v>85</v>
      </c>
      <c r="AX302" t="s">
        <v>215</v>
      </c>
      <c r="AY302" t="s">
        <v>108</v>
      </c>
      <c r="AZ302" t="s">
        <v>109</v>
      </c>
      <c r="BA302" t="s">
        <v>170</v>
      </c>
      <c r="BB302" t="s">
        <v>90</v>
      </c>
      <c r="BC302">
        <v>23906</v>
      </c>
      <c r="BD302">
        <v>20250805</v>
      </c>
      <c r="BE302">
        <v>547.44899999999996</v>
      </c>
      <c r="BG302" t="s">
        <v>1011</v>
      </c>
      <c r="BH302">
        <v>20250731</v>
      </c>
      <c r="BJ302" t="s">
        <v>112</v>
      </c>
      <c r="BK302" t="s">
        <v>171</v>
      </c>
      <c r="BL302" t="s">
        <v>1010</v>
      </c>
    </row>
    <row r="303" spans="1:64" x14ac:dyDescent="0.2">
      <c r="A303">
        <v>15</v>
      </c>
      <c r="B303">
        <v>8</v>
      </c>
      <c r="C303">
        <v>2025</v>
      </c>
      <c r="D303">
        <v>132114</v>
      </c>
      <c r="E303">
        <v>3</v>
      </c>
      <c r="F303" t="s">
        <v>65</v>
      </c>
      <c r="G303" t="s">
        <v>66</v>
      </c>
      <c r="H303">
        <v>20550731399</v>
      </c>
      <c r="I303" t="s">
        <v>67</v>
      </c>
      <c r="J303" t="s">
        <v>68</v>
      </c>
      <c r="K303" t="s">
        <v>69</v>
      </c>
      <c r="L303" t="s">
        <v>69</v>
      </c>
      <c r="M303" t="s">
        <v>70</v>
      </c>
      <c r="N303" t="s">
        <v>71</v>
      </c>
      <c r="O303" t="s">
        <v>71</v>
      </c>
      <c r="P303" t="s">
        <v>72</v>
      </c>
      <c r="Q303" t="s">
        <v>73</v>
      </c>
      <c r="R303" t="s">
        <v>1003</v>
      </c>
      <c r="S303" t="s">
        <v>74</v>
      </c>
      <c r="T303" t="s">
        <v>163</v>
      </c>
      <c r="U303">
        <v>8302490000</v>
      </c>
      <c r="V303" t="s">
        <v>1002</v>
      </c>
      <c r="W303" t="s">
        <v>1039</v>
      </c>
      <c r="X303" t="s">
        <v>1038</v>
      </c>
      <c r="Y303" t="s">
        <v>999</v>
      </c>
      <c r="Z303" t="s">
        <v>1037</v>
      </c>
      <c r="AB303" t="s">
        <v>1037</v>
      </c>
      <c r="AC303" t="s">
        <v>214</v>
      </c>
      <c r="AD303" t="s">
        <v>998</v>
      </c>
      <c r="AE303" t="s">
        <v>1037</v>
      </c>
      <c r="AG303">
        <v>1673.03</v>
      </c>
      <c r="AH303">
        <v>46.73</v>
      </c>
      <c r="AI303">
        <v>46.01</v>
      </c>
      <c r="AJ303">
        <v>1765.77</v>
      </c>
      <c r="AK303">
        <v>0</v>
      </c>
      <c r="AL303">
        <v>282.52</v>
      </c>
      <c r="AM303">
        <v>35.32</v>
      </c>
      <c r="AN303">
        <v>11.33</v>
      </c>
      <c r="AO303">
        <v>11.83</v>
      </c>
      <c r="AP303">
        <v>12</v>
      </c>
      <c r="AQ303" t="s">
        <v>82</v>
      </c>
      <c r="AR303">
        <v>147.14699999999999</v>
      </c>
      <c r="AS303">
        <v>12</v>
      </c>
      <c r="AT303" t="s">
        <v>107</v>
      </c>
      <c r="AU303" t="s">
        <v>84</v>
      </c>
      <c r="AV303">
        <v>0</v>
      </c>
      <c r="AW303" t="s">
        <v>85</v>
      </c>
      <c r="AX303" t="s">
        <v>215</v>
      </c>
      <c r="AY303" t="s">
        <v>108</v>
      </c>
      <c r="BA303" t="s">
        <v>170</v>
      </c>
      <c r="BB303" t="s">
        <v>90</v>
      </c>
      <c r="BC303">
        <v>23472</v>
      </c>
      <c r="BD303">
        <v>20250817</v>
      </c>
      <c r="BE303">
        <v>139.41900000000001</v>
      </c>
      <c r="BG303">
        <v>425200888</v>
      </c>
      <c r="BH303">
        <v>20250813</v>
      </c>
      <c r="BJ303" t="s">
        <v>112</v>
      </c>
      <c r="BK303" t="s">
        <v>171</v>
      </c>
      <c r="BL303" t="s">
        <v>886</v>
      </c>
    </row>
    <row r="304" spans="1:64" x14ac:dyDescent="0.2">
      <c r="A304">
        <v>15</v>
      </c>
      <c r="B304">
        <v>8</v>
      </c>
      <c r="C304">
        <v>2025</v>
      </c>
      <c r="D304">
        <v>132114</v>
      </c>
      <c r="E304">
        <v>5</v>
      </c>
      <c r="F304" t="s">
        <v>65</v>
      </c>
      <c r="G304" t="s">
        <v>66</v>
      </c>
      <c r="H304">
        <v>20550731399</v>
      </c>
      <c r="I304" t="s">
        <v>67</v>
      </c>
      <c r="J304" t="s">
        <v>68</v>
      </c>
      <c r="K304" t="s">
        <v>69</v>
      </c>
      <c r="L304" t="s">
        <v>69</v>
      </c>
      <c r="M304" t="s">
        <v>70</v>
      </c>
      <c r="N304" t="s">
        <v>71</v>
      </c>
      <c r="O304" t="s">
        <v>71</v>
      </c>
      <c r="P304" t="s">
        <v>72</v>
      </c>
      <c r="Q304" t="s">
        <v>73</v>
      </c>
      <c r="R304" t="s">
        <v>1003</v>
      </c>
      <c r="S304" t="s">
        <v>74</v>
      </c>
      <c r="T304" t="s">
        <v>163</v>
      </c>
      <c r="U304">
        <v>8302490000</v>
      </c>
      <c r="V304" t="s">
        <v>1002</v>
      </c>
      <c r="W304" t="s">
        <v>1044</v>
      </c>
      <c r="X304" t="s">
        <v>1043</v>
      </c>
      <c r="Y304" t="s">
        <v>1042</v>
      </c>
      <c r="Z304" t="s">
        <v>1037</v>
      </c>
      <c r="AB304" t="s">
        <v>1037</v>
      </c>
      <c r="AC304" t="s">
        <v>214</v>
      </c>
      <c r="AD304" t="s">
        <v>1040</v>
      </c>
      <c r="AE304" t="s">
        <v>1037</v>
      </c>
      <c r="AG304">
        <v>2759.27</v>
      </c>
      <c r="AH304">
        <v>77.069999999999993</v>
      </c>
      <c r="AI304">
        <v>75.88</v>
      </c>
      <c r="AJ304">
        <v>2912.22</v>
      </c>
      <c r="AK304">
        <v>0</v>
      </c>
      <c r="AL304">
        <v>465.95</v>
      </c>
      <c r="AM304">
        <v>58.24</v>
      </c>
      <c r="AN304">
        <v>18.68</v>
      </c>
      <c r="AO304">
        <v>19.510000000000002</v>
      </c>
      <c r="AP304">
        <v>16</v>
      </c>
      <c r="AQ304" t="s">
        <v>82</v>
      </c>
      <c r="AR304">
        <v>182.01300000000001</v>
      </c>
      <c r="AS304">
        <v>16</v>
      </c>
      <c r="AT304" t="s">
        <v>107</v>
      </c>
      <c r="AU304" t="s">
        <v>84</v>
      </c>
      <c r="AV304">
        <v>0</v>
      </c>
      <c r="AW304" t="s">
        <v>85</v>
      </c>
      <c r="AX304" t="s">
        <v>215</v>
      </c>
      <c r="AY304" t="s">
        <v>108</v>
      </c>
      <c r="BA304" t="s">
        <v>170</v>
      </c>
      <c r="BB304" t="s">
        <v>90</v>
      </c>
      <c r="BC304">
        <v>23472</v>
      </c>
      <c r="BD304">
        <v>20250817</v>
      </c>
      <c r="BE304">
        <v>172.45400000000001</v>
      </c>
      <c r="BG304">
        <v>425200888</v>
      </c>
      <c r="BH304">
        <v>20250813</v>
      </c>
      <c r="BJ304" t="s">
        <v>112</v>
      </c>
      <c r="BK304" t="s">
        <v>171</v>
      </c>
      <c r="BL304" t="s">
        <v>886</v>
      </c>
    </row>
    <row r="305" spans="1:64" x14ac:dyDescent="0.2">
      <c r="A305">
        <v>15</v>
      </c>
      <c r="B305">
        <v>8</v>
      </c>
      <c r="C305">
        <v>2025</v>
      </c>
      <c r="D305">
        <v>132114</v>
      </c>
      <c r="E305">
        <v>1</v>
      </c>
      <c r="F305" t="s">
        <v>65</v>
      </c>
      <c r="G305" t="s">
        <v>66</v>
      </c>
      <c r="H305">
        <v>20550731399</v>
      </c>
      <c r="I305" t="s">
        <v>67</v>
      </c>
      <c r="J305" t="s">
        <v>68</v>
      </c>
      <c r="K305" t="s">
        <v>69</v>
      </c>
      <c r="L305" t="s">
        <v>69</v>
      </c>
      <c r="M305" t="s">
        <v>70</v>
      </c>
      <c r="N305" t="s">
        <v>71</v>
      </c>
      <c r="O305" t="s">
        <v>71</v>
      </c>
      <c r="P305" t="s">
        <v>72</v>
      </c>
      <c r="Q305" t="s">
        <v>73</v>
      </c>
      <c r="R305" t="s">
        <v>1003</v>
      </c>
      <c r="S305" t="s">
        <v>74</v>
      </c>
      <c r="T305" t="s">
        <v>163</v>
      </c>
      <c r="U305">
        <v>8302490000</v>
      </c>
      <c r="V305" t="s">
        <v>1002</v>
      </c>
      <c r="W305" t="s">
        <v>1044</v>
      </c>
      <c r="X305" t="s">
        <v>1043</v>
      </c>
      <c r="Y305" t="s">
        <v>1042</v>
      </c>
      <c r="Z305" t="s">
        <v>1037</v>
      </c>
      <c r="AA305" t="s">
        <v>1041</v>
      </c>
      <c r="AB305" t="s">
        <v>1037</v>
      </c>
      <c r="AC305" t="s">
        <v>214</v>
      </c>
      <c r="AD305" t="s">
        <v>1040</v>
      </c>
      <c r="AE305" t="s">
        <v>1037</v>
      </c>
      <c r="AG305">
        <v>2759.27</v>
      </c>
      <c r="AH305">
        <v>77.069999999999993</v>
      </c>
      <c r="AI305">
        <v>75.88</v>
      </c>
      <c r="AJ305">
        <v>2912.22</v>
      </c>
      <c r="AK305">
        <v>0</v>
      </c>
      <c r="AL305">
        <v>465.95</v>
      </c>
      <c r="AM305">
        <v>58.24</v>
      </c>
      <c r="AN305">
        <v>18.68</v>
      </c>
      <c r="AO305">
        <v>19.510000000000002</v>
      </c>
      <c r="AP305">
        <v>16</v>
      </c>
      <c r="AQ305" t="s">
        <v>82</v>
      </c>
      <c r="AR305">
        <v>182.01300000000001</v>
      </c>
      <c r="AS305">
        <v>16</v>
      </c>
      <c r="AT305" t="s">
        <v>107</v>
      </c>
      <c r="AU305" t="s">
        <v>84</v>
      </c>
      <c r="AV305">
        <v>2</v>
      </c>
      <c r="AW305" t="s">
        <v>85</v>
      </c>
      <c r="AX305" t="s">
        <v>215</v>
      </c>
      <c r="AY305" t="s">
        <v>108</v>
      </c>
      <c r="BA305" t="s">
        <v>170</v>
      </c>
      <c r="BB305" t="s">
        <v>90</v>
      </c>
      <c r="BC305">
        <v>23472</v>
      </c>
      <c r="BD305">
        <v>20250817</v>
      </c>
      <c r="BE305">
        <v>172.45400000000001</v>
      </c>
      <c r="BG305">
        <v>425200888</v>
      </c>
      <c r="BH305">
        <v>20250813</v>
      </c>
      <c r="BJ305" t="s">
        <v>112</v>
      </c>
      <c r="BK305" t="s">
        <v>171</v>
      </c>
      <c r="BL305" t="s">
        <v>886</v>
      </c>
    </row>
    <row r="306" spans="1:64" x14ac:dyDescent="0.2">
      <c r="A306">
        <v>15</v>
      </c>
      <c r="B306">
        <v>8</v>
      </c>
      <c r="C306">
        <v>2025</v>
      </c>
      <c r="D306">
        <v>132114</v>
      </c>
      <c r="E306">
        <v>7</v>
      </c>
      <c r="F306" t="s">
        <v>65</v>
      </c>
      <c r="G306" t="s">
        <v>66</v>
      </c>
      <c r="H306">
        <v>20550731399</v>
      </c>
      <c r="I306" t="s">
        <v>67</v>
      </c>
      <c r="J306" t="s">
        <v>68</v>
      </c>
      <c r="K306" t="s">
        <v>69</v>
      </c>
      <c r="L306" t="s">
        <v>69</v>
      </c>
      <c r="M306" t="s">
        <v>70</v>
      </c>
      <c r="N306" t="s">
        <v>71</v>
      </c>
      <c r="O306" t="s">
        <v>71</v>
      </c>
      <c r="P306" t="s">
        <v>72</v>
      </c>
      <c r="Q306" t="s">
        <v>73</v>
      </c>
      <c r="R306" t="s">
        <v>1003</v>
      </c>
      <c r="S306" t="s">
        <v>74</v>
      </c>
      <c r="T306" t="s">
        <v>163</v>
      </c>
      <c r="U306">
        <v>8302490000</v>
      </c>
      <c r="V306" t="s">
        <v>1002</v>
      </c>
      <c r="W306" t="s">
        <v>1039</v>
      </c>
      <c r="X306" t="s">
        <v>1038</v>
      </c>
      <c r="Y306" t="s">
        <v>999</v>
      </c>
      <c r="Z306" t="s">
        <v>1037</v>
      </c>
      <c r="AB306" t="s">
        <v>1037</v>
      </c>
      <c r="AC306" t="s">
        <v>214</v>
      </c>
      <c r="AD306" t="s">
        <v>998</v>
      </c>
      <c r="AE306" t="s">
        <v>1037</v>
      </c>
      <c r="AG306">
        <v>1673.03</v>
      </c>
      <c r="AH306">
        <v>46.73</v>
      </c>
      <c r="AI306">
        <v>46.01</v>
      </c>
      <c r="AJ306">
        <v>1765.77</v>
      </c>
      <c r="AK306">
        <v>0</v>
      </c>
      <c r="AL306">
        <v>282.52</v>
      </c>
      <c r="AM306">
        <v>35.32</v>
      </c>
      <c r="AN306">
        <v>11.33</v>
      </c>
      <c r="AO306">
        <v>11.83</v>
      </c>
      <c r="AP306">
        <v>12</v>
      </c>
      <c r="AQ306" t="s">
        <v>82</v>
      </c>
      <c r="AR306">
        <v>147.14699999999999</v>
      </c>
      <c r="AS306">
        <v>12</v>
      </c>
      <c r="AT306" t="s">
        <v>107</v>
      </c>
      <c r="AU306" t="s">
        <v>84</v>
      </c>
      <c r="AV306">
        <v>0</v>
      </c>
      <c r="AW306" t="s">
        <v>85</v>
      </c>
      <c r="AX306" t="s">
        <v>215</v>
      </c>
      <c r="AY306" t="s">
        <v>108</v>
      </c>
      <c r="BA306" t="s">
        <v>170</v>
      </c>
      <c r="BB306" t="s">
        <v>90</v>
      </c>
      <c r="BC306">
        <v>23472</v>
      </c>
      <c r="BD306">
        <v>20250817</v>
      </c>
      <c r="BE306">
        <v>139.41900000000001</v>
      </c>
      <c r="BG306">
        <v>425200888</v>
      </c>
      <c r="BH306">
        <v>20250813</v>
      </c>
      <c r="BJ306" t="s">
        <v>112</v>
      </c>
      <c r="BK306" t="s">
        <v>171</v>
      </c>
      <c r="BL306" t="s">
        <v>886</v>
      </c>
    </row>
    <row r="307" spans="1:64" x14ac:dyDescent="0.2">
      <c r="A307">
        <v>12</v>
      </c>
      <c r="B307">
        <v>8</v>
      </c>
      <c r="C307">
        <v>2025</v>
      </c>
      <c r="D307">
        <v>129394</v>
      </c>
      <c r="E307">
        <v>2</v>
      </c>
      <c r="F307" t="s">
        <v>65</v>
      </c>
      <c r="G307" t="s">
        <v>66</v>
      </c>
      <c r="H307">
        <v>20550731399</v>
      </c>
      <c r="I307" t="s">
        <v>67</v>
      </c>
      <c r="J307" t="s">
        <v>68</v>
      </c>
      <c r="K307" t="s">
        <v>69</v>
      </c>
      <c r="L307" t="s">
        <v>69</v>
      </c>
      <c r="M307" t="s">
        <v>70</v>
      </c>
      <c r="N307" t="s">
        <v>71</v>
      </c>
      <c r="O307" t="s">
        <v>71</v>
      </c>
      <c r="P307" t="s">
        <v>72</v>
      </c>
      <c r="Q307" t="s">
        <v>73</v>
      </c>
      <c r="R307" t="s">
        <v>74</v>
      </c>
      <c r="S307" t="s">
        <v>74</v>
      </c>
      <c r="T307" t="s">
        <v>163</v>
      </c>
      <c r="U307">
        <v>8413919000</v>
      </c>
      <c r="V307" t="s">
        <v>229</v>
      </c>
      <c r="W307" t="s">
        <v>1036</v>
      </c>
      <c r="X307" t="s">
        <v>1035</v>
      </c>
      <c r="Y307" t="s">
        <v>1034</v>
      </c>
      <c r="Z307" t="s">
        <v>1033</v>
      </c>
      <c r="AD307">
        <v>923109</v>
      </c>
      <c r="AG307">
        <v>1227.6300000000001</v>
      </c>
      <c r="AH307">
        <v>30.54</v>
      </c>
      <c r="AI307">
        <v>12.28</v>
      </c>
      <c r="AJ307">
        <v>1270.44</v>
      </c>
      <c r="AK307">
        <v>0</v>
      </c>
      <c r="AL307">
        <v>203.27</v>
      </c>
      <c r="AM307">
        <v>25.41</v>
      </c>
      <c r="AN307">
        <v>18.7</v>
      </c>
      <c r="AO307">
        <v>19.579999999999998</v>
      </c>
      <c r="AP307">
        <v>2</v>
      </c>
      <c r="AQ307" t="s">
        <v>82</v>
      </c>
      <c r="AR307">
        <v>635.22199999999998</v>
      </c>
      <c r="AS307">
        <v>2</v>
      </c>
      <c r="AT307" t="s">
        <v>107</v>
      </c>
      <c r="AU307" t="s">
        <v>84</v>
      </c>
      <c r="AV307">
        <v>0</v>
      </c>
      <c r="AW307" t="s">
        <v>85</v>
      </c>
      <c r="AX307" t="s">
        <v>792</v>
      </c>
      <c r="AY307" t="s">
        <v>108</v>
      </c>
      <c r="BA307" t="s">
        <v>170</v>
      </c>
      <c r="BB307" t="s">
        <v>90</v>
      </c>
      <c r="BC307">
        <v>19828</v>
      </c>
      <c r="BD307">
        <v>20250813</v>
      </c>
      <c r="BE307">
        <v>613.81500000000005</v>
      </c>
      <c r="BG307" t="s">
        <v>1005</v>
      </c>
      <c r="BH307">
        <v>20250812</v>
      </c>
      <c r="BJ307" t="s">
        <v>1004</v>
      </c>
      <c r="BL307" t="s">
        <v>886</v>
      </c>
    </row>
    <row r="308" spans="1:64" x14ac:dyDescent="0.2">
      <c r="A308">
        <v>12</v>
      </c>
      <c r="B308">
        <v>8</v>
      </c>
      <c r="C308">
        <v>2025</v>
      </c>
      <c r="D308">
        <v>129394</v>
      </c>
      <c r="E308">
        <v>3</v>
      </c>
      <c r="F308" t="s">
        <v>65</v>
      </c>
      <c r="G308" t="s">
        <v>66</v>
      </c>
      <c r="H308">
        <v>20550731399</v>
      </c>
      <c r="I308" t="s">
        <v>67</v>
      </c>
      <c r="J308" t="s">
        <v>68</v>
      </c>
      <c r="K308" t="s">
        <v>69</v>
      </c>
      <c r="L308" t="s">
        <v>69</v>
      </c>
      <c r="M308" t="s">
        <v>70</v>
      </c>
      <c r="N308" t="s">
        <v>71</v>
      </c>
      <c r="O308" t="s">
        <v>71</v>
      </c>
      <c r="P308" t="s">
        <v>72</v>
      </c>
      <c r="Q308" t="s">
        <v>73</v>
      </c>
      <c r="R308" t="s">
        <v>74</v>
      </c>
      <c r="S308" t="s">
        <v>74</v>
      </c>
      <c r="T308" t="s">
        <v>163</v>
      </c>
      <c r="U308">
        <v>8412290000</v>
      </c>
      <c r="V308" t="s">
        <v>164</v>
      </c>
      <c r="W308" t="s">
        <v>1032</v>
      </c>
      <c r="X308" t="s">
        <v>1031</v>
      </c>
      <c r="Y308" t="s">
        <v>1030</v>
      </c>
      <c r="Z308" t="s">
        <v>221</v>
      </c>
      <c r="AD308" t="str">
        <f>Tabla1[[#This Row],[DESCRIPCIÓN DE MERCANCÍA 1]]</f>
        <v>M4C 0431N00A102</v>
      </c>
      <c r="AG308">
        <v>3060.77</v>
      </c>
      <c r="AH308">
        <v>76.14</v>
      </c>
      <c r="AI308">
        <v>30.61</v>
      </c>
      <c r="AJ308">
        <v>3167.52</v>
      </c>
      <c r="AK308">
        <v>0</v>
      </c>
      <c r="AL308">
        <v>506.8</v>
      </c>
      <c r="AM308">
        <v>63.35</v>
      </c>
      <c r="AN308">
        <v>46.62</v>
      </c>
      <c r="AO308">
        <v>48.82</v>
      </c>
      <c r="AP308">
        <v>3</v>
      </c>
      <c r="AQ308" t="s">
        <v>82</v>
      </c>
      <c r="AR308">
        <v>1055.8389999999999</v>
      </c>
      <c r="AS308">
        <v>3</v>
      </c>
      <c r="AT308" t="s">
        <v>107</v>
      </c>
      <c r="AU308" t="s">
        <v>84</v>
      </c>
      <c r="AV308">
        <v>0</v>
      </c>
      <c r="AW308" t="s">
        <v>85</v>
      </c>
      <c r="AX308" t="s">
        <v>792</v>
      </c>
      <c r="AY308" t="s">
        <v>108</v>
      </c>
      <c r="BA308" t="s">
        <v>170</v>
      </c>
      <c r="BB308" t="s">
        <v>90</v>
      </c>
      <c r="BC308">
        <v>19828</v>
      </c>
      <c r="BD308">
        <v>20250813</v>
      </c>
      <c r="BE308">
        <v>1020.2569999999999</v>
      </c>
      <c r="BG308" t="s">
        <v>1005</v>
      </c>
      <c r="BH308">
        <v>20250812</v>
      </c>
      <c r="BJ308" t="s">
        <v>1004</v>
      </c>
      <c r="BL308" t="s">
        <v>886</v>
      </c>
    </row>
    <row r="309" spans="1:64" x14ac:dyDescent="0.2">
      <c r="A309">
        <v>12</v>
      </c>
      <c r="B309">
        <v>8</v>
      </c>
      <c r="C309">
        <v>2025</v>
      </c>
      <c r="D309">
        <v>129394</v>
      </c>
      <c r="E309">
        <v>7</v>
      </c>
      <c r="F309" t="s">
        <v>65</v>
      </c>
      <c r="G309" t="s">
        <v>66</v>
      </c>
      <c r="H309">
        <v>20550731399</v>
      </c>
      <c r="I309" t="s">
        <v>67</v>
      </c>
      <c r="J309" t="s">
        <v>68</v>
      </c>
      <c r="K309" t="s">
        <v>69</v>
      </c>
      <c r="L309" t="s">
        <v>69</v>
      </c>
      <c r="M309" t="s">
        <v>70</v>
      </c>
      <c r="N309" t="s">
        <v>71</v>
      </c>
      <c r="O309" t="s">
        <v>71</v>
      </c>
      <c r="P309" t="s">
        <v>72</v>
      </c>
      <c r="Q309" t="s">
        <v>73</v>
      </c>
      <c r="R309" t="s">
        <v>74</v>
      </c>
      <c r="S309" t="s">
        <v>74</v>
      </c>
      <c r="T309" t="s">
        <v>163</v>
      </c>
      <c r="U309">
        <v>8413919000</v>
      </c>
      <c r="V309" t="s">
        <v>229</v>
      </c>
      <c r="W309" t="s">
        <v>1029</v>
      </c>
      <c r="X309" t="s">
        <v>1028</v>
      </c>
      <c r="Y309" t="s">
        <v>1027</v>
      </c>
      <c r="Z309" t="s">
        <v>1026</v>
      </c>
      <c r="AD309" t="s">
        <v>867</v>
      </c>
      <c r="AG309">
        <v>4976.8599999999997</v>
      </c>
      <c r="AH309">
        <v>123.8</v>
      </c>
      <c r="AI309">
        <v>49.77</v>
      </c>
      <c r="AJ309">
        <v>5150.43</v>
      </c>
      <c r="AK309">
        <v>0</v>
      </c>
      <c r="AL309">
        <v>824.07</v>
      </c>
      <c r="AM309">
        <v>103.01</v>
      </c>
      <c r="AN309">
        <v>75.8</v>
      </c>
      <c r="AO309">
        <v>79.38</v>
      </c>
      <c r="AP309">
        <v>5</v>
      </c>
      <c r="AQ309" t="s">
        <v>82</v>
      </c>
      <c r="AR309">
        <v>1030.086</v>
      </c>
      <c r="AS309">
        <v>5</v>
      </c>
      <c r="AT309" t="s">
        <v>107</v>
      </c>
      <c r="AU309" t="s">
        <v>84</v>
      </c>
      <c r="AV309">
        <v>0</v>
      </c>
      <c r="AW309" t="s">
        <v>85</v>
      </c>
      <c r="AX309" t="s">
        <v>792</v>
      </c>
      <c r="AY309" t="s">
        <v>108</v>
      </c>
      <c r="BA309" t="s">
        <v>170</v>
      </c>
      <c r="BB309" t="s">
        <v>90</v>
      </c>
      <c r="BC309">
        <v>19828</v>
      </c>
      <c r="BD309">
        <v>20250813</v>
      </c>
      <c r="BE309">
        <v>995.37199999999996</v>
      </c>
      <c r="BG309" t="s">
        <v>1005</v>
      </c>
      <c r="BH309">
        <v>20250812</v>
      </c>
      <c r="BJ309" t="s">
        <v>1004</v>
      </c>
      <c r="BL309" t="s">
        <v>886</v>
      </c>
    </row>
    <row r="310" spans="1:64" x14ac:dyDescent="0.2">
      <c r="A310">
        <v>15</v>
      </c>
      <c r="B310">
        <v>8</v>
      </c>
      <c r="C310">
        <v>2025</v>
      </c>
      <c r="D310">
        <v>345956</v>
      </c>
      <c r="E310">
        <v>1</v>
      </c>
      <c r="F310" t="s">
        <v>279</v>
      </c>
      <c r="G310" t="s">
        <v>66</v>
      </c>
      <c r="H310">
        <v>20550731399</v>
      </c>
      <c r="I310" t="s">
        <v>67</v>
      </c>
      <c r="J310" t="s">
        <v>68</v>
      </c>
      <c r="K310" t="s">
        <v>69</v>
      </c>
      <c r="L310" t="s">
        <v>69</v>
      </c>
      <c r="M310" t="s">
        <v>70</v>
      </c>
      <c r="N310" t="s">
        <v>71</v>
      </c>
      <c r="O310" t="s">
        <v>71</v>
      </c>
      <c r="P310" t="s">
        <v>280</v>
      </c>
      <c r="Q310" t="s">
        <v>73</v>
      </c>
      <c r="R310" t="s">
        <v>74</v>
      </c>
      <c r="S310" t="s">
        <v>74</v>
      </c>
      <c r="T310" t="s">
        <v>163</v>
      </c>
      <c r="U310">
        <v>8483500000</v>
      </c>
      <c r="V310" t="s">
        <v>328</v>
      </c>
      <c r="W310" t="s">
        <v>1025</v>
      </c>
      <c r="X310" t="s">
        <v>1024</v>
      </c>
      <c r="Y310" t="s">
        <v>1023</v>
      </c>
      <c r="Z310" t="s">
        <v>851</v>
      </c>
      <c r="AA310" t="s">
        <v>1022</v>
      </c>
      <c r="AD310" t="s">
        <v>1392</v>
      </c>
      <c r="AG310">
        <v>10140.540000000001</v>
      </c>
      <c r="AH310">
        <v>48.53</v>
      </c>
      <c r="AI310">
        <v>101.41</v>
      </c>
      <c r="AJ310">
        <v>10290.48</v>
      </c>
      <c r="AK310">
        <v>0</v>
      </c>
      <c r="AL310">
        <v>1646.48</v>
      </c>
      <c r="AM310">
        <v>205.81</v>
      </c>
      <c r="AN310">
        <v>112.12</v>
      </c>
      <c r="AO310">
        <v>116.86</v>
      </c>
      <c r="AP310">
        <v>1</v>
      </c>
      <c r="AQ310" t="s">
        <v>82</v>
      </c>
      <c r="AR310">
        <v>10290.475</v>
      </c>
      <c r="AS310">
        <v>1</v>
      </c>
      <c r="AT310" t="s">
        <v>107</v>
      </c>
      <c r="AU310" t="s">
        <v>84</v>
      </c>
      <c r="AV310">
        <v>1</v>
      </c>
      <c r="AW310" t="s">
        <v>85</v>
      </c>
      <c r="AX310" t="s">
        <v>215</v>
      </c>
      <c r="AY310" t="s">
        <v>108</v>
      </c>
      <c r="AZ310" t="s">
        <v>1021</v>
      </c>
      <c r="BA310" t="s">
        <v>323</v>
      </c>
      <c r="BB310" t="s">
        <v>90</v>
      </c>
      <c r="BC310">
        <v>1898</v>
      </c>
      <c r="BD310">
        <v>20250817</v>
      </c>
      <c r="BE310">
        <v>10140.540000000001</v>
      </c>
      <c r="BF310" t="s">
        <v>1020</v>
      </c>
      <c r="BG310">
        <v>425600690</v>
      </c>
      <c r="BH310">
        <v>20250801</v>
      </c>
      <c r="BI310" t="s">
        <v>1019</v>
      </c>
      <c r="BJ310" t="s">
        <v>326</v>
      </c>
      <c r="BK310" t="s">
        <v>171</v>
      </c>
      <c r="BL310" t="s">
        <v>886</v>
      </c>
    </row>
    <row r="311" spans="1:64" x14ac:dyDescent="0.2">
      <c r="A311">
        <v>12</v>
      </c>
      <c r="B311">
        <v>8</v>
      </c>
      <c r="C311">
        <v>2025</v>
      </c>
      <c r="D311">
        <v>129394</v>
      </c>
      <c r="E311">
        <v>6</v>
      </c>
      <c r="F311" t="s">
        <v>65</v>
      </c>
      <c r="G311" t="s">
        <v>66</v>
      </c>
      <c r="H311">
        <v>20550731399</v>
      </c>
      <c r="I311" t="s">
        <v>67</v>
      </c>
      <c r="J311" t="s">
        <v>68</v>
      </c>
      <c r="K311" t="s">
        <v>69</v>
      </c>
      <c r="L311" t="s">
        <v>69</v>
      </c>
      <c r="M311" t="s">
        <v>70</v>
      </c>
      <c r="N311" t="s">
        <v>71</v>
      </c>
      <c r="O311" t="s">
        <v>71</v>
      </c>
      <c r="P311" t="s">
        <v>72</v>
      </c>
      <c r="Q311" t="s">
        <v>73</v>
      </c>
      <c r="R311" t="s">
        <v>74</v>
      </c>
      <c r="S311" t="s">
        <v>74</v>
      </c>
      <c r="T311" t="s">
        <v>163</v>
      </c>
      <c r="U311">
        <v>8413190000</v>
      </c>
      <c r="V311" t="s">
        <v>100</v>
      </c>
      <c r="W311" t="s">
        <v>1018</v>
      </c>
      <c r="X311" t="s">
        <v>1017</v>
      </c>
      <c r="Y311" t="s">
        <v>1016</v>
      </c>
      <c r="Z311" t="s">
        <v>176</v>
      </c>
      <c r="AD311" t="str">
        <f>Tabla1[[#This Row],[DESCRIPCIÓN DE MERCANCÍA 1]]</f>
        <v>V101P4P1C20R</v>
      </c>
      <c r="AG311">
        <v>829.48</v>
      </c>
      <c r="AH311">
        <v>20.63</v>
      </c>
      <c r="AI311">
        <v>8.2899999999999991</v>
      </c>
      <c r="AJ311">
        <v>858.41</v>
      </c>
      <c r="AK311">
        <v>0</v>
      </c>
      <c r="AL311">
        <v>137.35</v>
      </c>
      <c r="AM311">
        <v>17.170000000000002</v>
      </c>
      <c r="AN311">
        <v>12.63</v>
      </c>
      <c r="AO311">
        <v>13.23</v>
      </c>
      <c r="AP311">
        <v>5</v>
      </c>
      <c r="AQ311" t="s">
        <v>82</v>
      </c>
      <c r="AR311">
        <v>171.68199999999999</v>
      </c>
      <c r="AS311">
        <v>5</v>
      </c>
      <c r="AT311" t="s">
        <v>107</v>
      </c>
      <c r="AU311" t="s">
        <v>84</v>
      </c>
      <c r="AV311">
        <v>0</v>
      </c>
      <c r="AW311" t="s">
        <v>85</v>
      </c>
      <c r="AX311" t="s">
        <v>792</v>
      </c>
      <c r="AY311" t="s">
        <v>108</v>
      </c>
      <c r="BA311" t="s">
        <v>170</v>
      </c>
      <c r="BB311" t="s">
        <v>90</v>
      </c>
      <c r="BC311">
        <v>19828</v>
      </c>
      <c r="BD311">
        <v>20250813</v>
      </c>
      <c r="BE311">
        <v>165.89599999999999</v>
      </c>
      <c r="BG311" t="s">
        <v>1005</v>
      </c>
      <c r="BH311">
        <v>20250812</v>
      </c>
      <c r="BJ311" t="s">
        <v>1004</v>
      </c>
      <c r="BL311" t="s">
        <v>886</v>
      </c>
    </row>
    <row r="312" spans="1:64" x14ac:dyDescent="0.2">
      <c r="A312">
        <v>1</v>
      </c>
      <c r="B312">
        <v>8</v>
      </c>
      <c r="C312">
        <v>2025</v>
      </c>
      <c r="D312">
        <v>123514</v>
      </c>
      <c r="E312">
        <v>2</v>
      </c>
      <c r="F312" t="s">
        <v>65</v>
      </c>
      <c r="G312" t="s">
        <v>66</v>
      </c>
      <c r="H312">
        <v>20550731399</v>
      </c>
      <c r="I312" t="s">
        <v>67</v>
      </c>
      <c r="J312" t="s">
        <v>68</v>
      </c>
      <c r="K312" t="s">
        <v>69</v>
      </c>
      <c r="L312" t="s">
        <v>69</v>
      </c>
      <c r="M312" t="s">
        <v>70</v>
      </c>
      <c r="N312" t="s">
        <v>71</v>
      </c>
      <c r="O312" t="s">
        <v>71</v>
      </c>
      <c r="P312" t="s">
        <v>72</v>
      </c>
      <c r="Q312" t="s">
        <v>73</v>
      </c>
      <c r="R312" t="s">
        <v>98</v>
      </c>
      <c r="S312" t="s">
        <v>74</v>
      </c>
      <c r="T312" t="s">
        <v>350</v>
      </c>
      <c r="U312">
        <v>8483909000</v>
      </c>
      <c r="V312" t="s">
        <v>739</v>
      </c>
      <c r="W312" t="s">
        <v>1015</v>
      </c>
      <c r="X312" t="s">
        <v>1014</v>
      </c>
      <c r="Y312" t="s">
        <v>1013</v>
      </c>
      <c r="Z312" t="s">
        <v>1012</v>
      </c>
      <c r="AB312" t="s">
        <v>1012</v>
      </c>
      <c r="AC312" t="s">
        <v>214</v>
      </c>
      <c r="AD312" t="str">
        <f>+Tabla1[[#This Row],[DESCRIPCIÓN DE MERCANCÍA 1]]</f>
        <v>105-02-004-22-000</v>
      </c>
      <c r="AE312" t="s">
        <v>1012</v>
      </c>
      <c r="AG312">
        <v>4379.59</v>
      </c>
      <c r="AH312">
        <v>565.78</v>
      </c>
      <c r="AI312">
        <v>43.8</v>
      </c>
      <c r="AJ312">
        <v>4989.17</v>
      </c>
      <c r="AK312">
        <v>299.35000000000002</v>
      </c>
      <c r="AL312">
        <v>846.16</v>
      </c>
      <c r="AM312">
        <v>105.77</v>
      </c>
      <c r="AN312">
        <v>207.57</v>
      </c>
      <c r="AO312">
        <v>212.2</v>
      </c>
      <c r="AP312">
        <v>8</v>
      </c>
      <c r="AQ312" t="s">
        <v>82</v>
      </c>
      <c r="AR312">
        <v>623.64599999999996</v>
      </c>
      <c r="AS312">
        <v>8</v>
      </c>
      <c r="AT312" t="s">
        <v>107</v>
      </c>
      <c r="AU312" t="s">
        <v>84</v>
      </c>
      <c r="AV312">
        <v>0</v>
      </c>
      <c r="AW312" t="s">
        <v>85</v>
      </c>
      <c r="AX312" t="s">
        <v>215</v>
      </c>
      <c r="AY312" t="s">
        <v>108</v>
      </c>
      <c r="AZ312" t="s">
        <v>109</v>
      </c>
      <c r="BA312" t="s">
        <v>170</v>
      </c>
      <c r="BB312" t="s">
        <v>90</v>
      </c>
      <c r="BC312">
        <v>23906</v>
      </c>
      <c r="BD312">
        <v>20250805</v>
      </c>
      <c r="BE312">
        <v>547.44899999999996</v>
      </c>
      <c r="BG312" t="s">
        <v>1011</v>
      </c>
      <c r="BH312">
        <v>20250731</v>
      </c>
      <c r="BJ312" t="s">
        <v>112</v>
      </c>
      <c r="BK312" t="s">
        <v>171</v>
      </c>
      <c r="BL312" t="s">
        <v>1010</v>
      </c>
    </row>
    <row r="313" spans="1:64" x14ac:dyDescent="0.2">
      <c r="A313">
        <v>12</v>
      </c>
      <c r="B313">
        <v>8</v>
      </c>
      <c r="C313">
        <v>2025</v>
      </c>
      <c r="D313">
        <v>129394</v>
      </c>
      <c r="E313">
        <v>5</v>
      </c>
      <c r="F313" t="s">
        <v>65</v>
      </c>
      <c r="G313" t="s">
        <v>66</v>
      </c>
      <c r="H313">
        <v>20550731399</v>
      </c>
      <c r="I313" t="s">
        <v>67</v>
      </c>
      <c r="J313" t="s">
        <v>68</v>
      </c>
      <c r="K313" t="s">
        <v>69</v>
      </c>
      <c r="L313" t="s">
        <v>69</v>
      </c>
      <c r="M313" t="s">
        <v>70</v>
      </c>
      <c r="N313" t="s">
        <v>71</v>
      </c>
      <c r="O313" t="s">
        <v>71</v>
      </c>
      <c r="P313" t="s">
        <v>72</v>
      </c>
      <c r="Q313" t="s">
        <v>73</v>
      </c>
      <c r="R313" t="s">
        <v>74</v>
      </c>
      <c r="S313" t="s">
        <v>74</v>
      </c>
      <c r="T313" t="s">
        <v>163</v>
      </c>
      <c r="U313">
        <v>8413919000</v>
      </c>
      <c r="V313" t="s">
        <v>229</v>
      </c>
      <c r="W313" t="s">
        <v>1009</v>
      </c>
      <c r="X313" t="s">
        <v>1008</v>
      </c>
      <c r="Y313" t="s">
        <v>1007</v>
      </c>
      <c r="Z313" t="s">
        <v>1006</v>
      </c>
      <c r="AD313" t="s">
        <v>873</v>
      </c>
      <c r="AG313">
        <v>662.54</v>
      </c>
      <c r="AH313">
        <v>16.48</v>
      </c>
      <c r="AI313">
        <v>6.62</v>
      </c>
      <c r="AJ313">
        <v>685.65</v>
      </c>
      <c r="AK313">
        <v>0</v>
      </c>
      <c r="AL313">
        <v>109.7</v>
      </c>
      <c r="AM313">
        <v>13.71</v>
      </c>
      <c r="AN313">
        <v>10.09</v>
      </c>
      <c r="AO313">
        <v>10.57</v>
      </c>
      <c r="AP313">
        <v>3</v>
      </c>
      <c r="AQ313" t="s">
        <v>82</v>
      </c>
      <c r="AR313">
        <v>228.54900000000001</v>
      </c>
      <c r="AS313">
        <v>3</v>
      </c>
      <c r="AT313" t="s">
        <v>107</v>
      </c>
      <c r="AU313" t="s">
        <v>84</v>
      </c>
      <c r="AV313">
        <v>0</v>
      </c>
      <c r="AW313" t="s">
        <v>85</v>
      </c>
      <c r="AX313" t="s">
        <v>792</v>
      </c>
      <c r="AY313" t="s">
        <v>108</v>
      </c>
      <c r="BA313" t="s">
        <v>170</v>
      </c>
      <c r="BB313" t="s">
        <v>90</v>
      </c>
      <c r="BC313">
        <v>19828</v>
      </c>
      <c r="BD313">
        <v>20250813</v>
      </c>
      <c r="BE313">
        <v>220.84700000000001</v>
      </c>
      <c r="BG313" t="s">
        <v>1005</v>
      </c>
      <c r="BH313">
        <v>20250812</v>
      </c>
      <c r="BJ313" t="s">
        <v>1004</v>
      </c>
      <c r="BL313" t="s">
        <v>886</v>
      </c>
    </row>
    <row r="314" spans="1:64" x14ac:dyDescent="0.2">
      <c r="A314">
        <v>15</v>
      </c>
      <c r="B314">
        <v>8</v>
      </c>
      <c r="C314">
        <v>2025</v>
      </c>
      <c r="D314">
        <v>132114</v>
      </c>
      <c r="E314">
        <v>8</v>
      </c>
      <c r="F314" t="s">
        <v>65</v>
      </c>
      <c r="G314" t="s">
        <v>66</v>
      </c>
      <c r="H314">
        <v>20550731399</v>
      </c>
      <c r="I314" t="s">
        <v>67</v>
      </c>
      <c r="J314" t="s">
        <v>68</v>
      </c>
      <c r="K314" t="s">
        <v>69</v>
      </c>
      <c r="L314" t="s">
        <v>69</v>
      </c>
      <c r="M314" t="s">
        <v>70</v>
      </c>
      <c r="N314" t="s">
        <v>71</v>
      </c>
      <c r="O314" t="s">
        <v>71</v>
      </c>
      <c r="P314" t="s">
        <v>72</v>
      </c>
      <c r="Q314" t="s">
        <v>73</v>
      </c>
      <c r="R314" t="s">
        <v>1003</v>
      </c>
      <c r="S314" t="s">
        <v>74</v>
      </c>
      <c r="T314" t="s">
        <v>163</v>
      </c>
      <c r="U314">
        <v>8302490000</v>
      </c>
      <c r="V314" t="s">
        <v>1002</v>
      </c>
      <c r="W314" t="s">
        <v>1001</v>
      </c>
      <c r="X314" t="s">
        <v>1000</v>
      </c>
      <c r="Y314" t="s">
        <v>999</v>
      </c>
      <c r="Z314" t="s">
        <v>997</v>
      </c>
      <c r="AB314" t="s">
        <v>997</v>
      </c>
      <c r="AC314" t="s">
        <v>214</v>
      </c>
      <c r="AD314" t="s">
        <v>998</v>
      </c>
      <c r="AE314" t="s">
        <v>997</v>
      </c>
      <c r="AG314">
        <v>302.36</v>
      </c>
      <c r="AH314">
        <v>8.4499999999999993</v>
      </c>
      <c r="AI314">
        <v>8.31</v>
      </c>
      <c r="AJ314">
        <v>319.12</v>
      </c>
      <c r="AK314">
        <v>0</v>
      </c>
      <c r="AL314">
        <v>51.06</v>
      </c>
      <c r="AM314">
        <v>6.38</v>
      </c>
      <c r="AN314">
        <v>2.0499999999999998</v>
      </c>
      <c r="AO314">
        <v>2.14</v>
      </c>
      <c r="AP314">
        <v>12</v>
      </c>
      <c r="AQ314" t="s">
        <v>82</v>
      </c>
      <c r="AR314">
        <v>26.593</v>
      </c>
      <c r="AS314">
        <v>12</v>
      </c>
      <c r="AT314" t="s">
        <v>107</v>
      </c>
      <c r="AU314" t="s">
        <v>84</v>
      </c>
      <c r="AV314">
        <v>0</v>
      </c>
      <c r="AW314" t="s">
        <v>85</v>
      </c>
      <c r="AX314" t="s">
        <v>215</v>
      </c>
      <c r="AY314" t="s">
        <v>108</v>
      </c>
      <c r="BA314" t="s">
        <v>170</v>
      </c>
      <c r="BB314" t="s">
        <v>90</v>
      </c>
      <c r="BC314">
        <v>23472</v>
      </c>
      <c r="BD314">
        <v>20250817</v>
      </c>
      <c r="BE314">
        <v>25.196999999999999</v>
      </c>
      <c r="BG314">
        <v>425200888</v>
      </c>
      <c r="BH314">
        <v>20250813</v>
      </c>
      <c r="BJ314" t="s">
        <v>112</v>
      </c>
      <c r="BK314" t="s">
        <v>171</v>
      </c>
      <c r="BL314" t="s">
        <v>886</v>
      </c>
    </row>
    <row r="315" spans="1:64" x14ac:dyDescent="0.2">
      <c r="A315">
        <v>8</v>
      </c>
      <c r="B315">
        <v>9</v>
      </c>
      <c r="C315">
        <v>2025</v>
      </c>
      <c r="D315">
        <v>386133</v>
      </c>
      <c r="E315">
        <v>2</v>
      </c>
      <c r="F315" t="s">
        <v>279</v>
      </c>
      <c r="G315" t="s">
        <v>66</v>
      </c>
      <c r="H315">
        <v>20550731399</v>
      </c>
      <c r="I315" t="s">
        <v>67</v>
      </c>
      <c r="J315" t="s">
        <v>68</v>
      </c>
      <c r="K315" t="s">
        <v>69</v>
      </c>
      <c r="L315" t="s">
        <v>69</v>
      </c>
      <c r="M315" t="s">
        <v>70</v>
      </c>
      <c r="N315" t="s">
        <v>71</v>
      </c>
      <c r="O315" t="s">
        <v>71</v>
      </c>
      <c r="P315" t="s">
        <v>280</v>
      </c>
      <c r="Q315" t="s">
        <v>73</v>
      </c>
      <c r="R315" t="s">
        <v>98</v>
      </c>
      <c r="S315" t="s">
        <v>98</v>
      </c>
      <c r="T315" t="s">
        <v>386</v>
      </c>
      <c r="U315">
        <v>8412290000</v>
      </c>
      <c r="V315" t="s">
        <v>164</v>
      </c>
      <c r="W315" t="s">
        <v>996</v>
      </c>
      <c r="X315" t="s">
        <v>870</v>
      </c>
      <c r="Y315" t="s">
        <v>995</v>
      </c>
      <c r="Z315" t="s">
        <v>993</v>
      </c>
      <c r="AB315" t="s">
        <v>79</v>
      </c>
      <c r="AC315" t="s">
        <v>763</v>
      </c>
      <c r="AD315" t="s">
        <v>994</v>
      </c>
      <c r="AE315" t="s">
        <v>993</v>
      </c>
      <c r="AG315">
        <v>1814.53</v>
      </c>
      <c r="AH315">
        <v>8.51</v>
      </c>
      <c r="AI315">
        <v>18.14</v>
      </c>
      <c r="AJ315">
        <v>1841.19</v>
      </c>
      <c r="AK315">
        <v>0</v>
      </c>
      <c r="AL315">
        <v>294.58999999999997</v>
      </c>
      <c r="AM315">
        <v>36.82</v>
      </c>
      <c r="AN315">
        <v>62.08</v>
      </c>
      <c r="AO315">
        <v>65.42</v>
      </c>
      <c r="AP315">
        <v>3</v>
      </c>
      <c r="AQ315" t="s">
        <v>82</v>
      </c>
      <c r="AR315">
        <v>613.72900000000004</v>
      </c>
      <c r="AS315">
        <v>3</v>
      </c>
      <c r="AT315" t="s">
        <v>107</v>
      </c>
      <c r="AU315" t="s">
        <v>84</v>
      </c>
      <c r="AV315">
        <v>0</v>
      </c>
      <c r="AW315" t="s">
        <v>85</v>
      </c>
      <c r="AX315" t="s">
        <v>390</v>
      </c>
      <c r="AY315" t="s">
        <v>108</v>
      </c>
      <c r="AZ315" t="s">
        <v>291</v>
      </c>
      <c r="BA315" t="s">
        <v>323</v>
      </c>
      <c r="BB315" t="s">
        <v>90</v>
      </c>
      <c r="BC315">
        <v>2251</v>
      </c>
      <c r="BD315">
        <v>20250912</v>
      </c>
      <c r="BE315">
        <v>604.84299999999996</v>
      </c>
      <c r="BF315" t="s">
        <v>908</v>
      </c>
      <c r="BG315" t="s">
        <v>907</v>
      </c>
      <c r="BH315">
        <v>20250810</v>
      </c>
      <c r="BI315" t="s">
        <v>906</v>
      </c>
      <c r="BK315" t="s">
        <v>91</v>
      </c>
      <c r="BL315" t="s">
        <v>886</v>
      </c>
    </row>
    <row r="316" spans="1:64" x14ac:dyDescent="0.2">
      <c r="A316">
        <v>8</v>
      </c>
      <c r="B316">
        <v>9</v>
      </c>
      <c r="C316">
        <v>2025</v>
      </c>
      <c r="D316">
        <v>386133</v>
      </c>
      <c r="E316">
        <v>1</v>
      </c>
      <c r="F316" t="s">
        <v>279</v>
      </c>
      <c r="G316" t="s">
        <v>66</v>
      </c>
      <c r="H316">
        <v>20550731399</v>
      </c>
      <c r="I316" t="s">
        <v>67</v>
      </c>
      <c r="J316" t="s">
        <v>68</v>
      </c>
      <c r="K316" t="s">
        <v>69</v>
      </c>
      <c r="L316" t="s">
        <v>69</v>
      </c>
      <c r="M316" t="s">
        <v>70</v>
      </c>
      <c r="N316" t="s">
        <v>71</v>
      </c>
      <c r="O316" t="s">
        <v>71</v>
      </c>
      <c r="P316" t="s">
        <v>280</v>
      </c>
      <c r="Q316" t="s">
        <v>73</v>
      </c>
      <c r="R316" t="s">
        <v>74</v>
      </c>
      <c r="S316" t="s">
        <v>98</v>
      </c>
      <c r="T316" t="s">
        <v>386</v>
      </c>
      <c r="U316">
        <v>8412290000</v>
      </c>
      <c r="V316" t="s">
        <v>164</v>
      </c>
      <c r="W316" t="s">
        <v>992</v>
      </c>
      <c r="X316" t="s">
        <v>870</v>
      </c>
      <c r="Y316" t="s">
        <v>991</v>
      </c>
      <c r="Z316" t="s">
        <v>990</v>
      </c>
      <c r="AB316" t="s">
        <v>79</v>
      </c>
      <c r="AC316" t="s">
        <v>910</v>
      </c>
      <c r="AD316" t="s">
        <v>991</v>
      </c>
      <c r="AE316" t="s">
        <v>990</v>
      </c>
      <c r="AG316">
        <v>48.48</v>
      </c>
      <c r="AH316">
        <v>0.23</v>
      </c>
      <c r="AI316">
        <v>0.48</v>
      </c>
      <c r="AJ316">
        <v>49.19</v>
      </c>
      <c r="AK316">
        <v>0</v>
      </c>
      <c r="AL316">
        <v>7.87</v>
      </c>
      <c r="AM316">
        <v>0.98</v>
      </c>
      <c r="AN316">
        <v>1.66</v>
      </c>
      <c r="AO316">
        <v>1.75</v>
      </c>
      <c r="AP316">
        <v>2</v>
      </c>
      <c r="AQ316" t="s">
        <v>82</v>
      </c>
      <c r="AR316">
        <v>24.596</v>
      </c>
      <c r="AS316">
        <v>2</v>
      </c>
      <c r="AT316" t="s">
        <v>107</v>
      </c>
      <c r="AU316" t="s">
        <v>84</v>
      </c>
      <c r="AV316">
        <v>3</v>
      </c>
      <c r="AW316" t="s">
        <v>85</v>
      </c>
      <c r="AX316" t="s">
        <v>390</v>
      </c>
      <c r="AY316" t="s">
        <v>108</v>
      </c>
      <c r="AZ316" t="s">
        <v>291</v>
      </c>
      <c r="BA316" t="s">
        <v>323</v>
      </c>
      <c r="BB316" t="s">
        <v>90</v>
      </c>
      <c r="BC316">
        <v>2251</v>
      </c>
      <c r="BD316">
        <v>20250912</v>
      </c>
      <c r="BE316">
        <v>24.24</v>
      </c>
      <c r="BF316" t="s">
        <v>908</v>
      </c>
      <c r="BG316" t="s">
        <v>907</v>
      </c>
      <c r="BH316">
        <v>20250810</v>
      </c>
      <c r="BI316" t="s">
        <v>906</v>
      </c>
      <c r="BK316" t="s">
        <v>91</v>
      </c>
      <c r="BL316" t="s">
        <v>886</v>
      </c>
    </row>
    <row r="317" spans="1:64" x14ac:dyDescent="0.2">
      <c r="A317">
        <v>8</v>
      </c>
      <c r="B317">
        <v>9</v>
      </c>
      <c r="C317">
        <v>2025</v>
      </c>
      <c r="D317">
        <v>386133</v>
      </c>
      <c r="E317">
        <v>7</v>
      </c>
      <c r="F317" t="s">
        <v>279</v>
      </c>
      <c r="G317" t="s">
        <v>66</v>
      </c>
      <c r="H317">
        <v>20550731399</v>
      </c>
      <c r="I317" t="s">
        <v>67</v>
      </c>
      <c r="J317" t="s">
        <v>68</v>
      </c>
      <c r="K317" t="s">
        <v>69</v>
      </c>
      <c r="L317" t="s">
        <v>69</v>
      </c>
      <c r="M317" t="s">
        <v>70</v>
      </c>
      <c r="N317" t="s">
        <v>71</v>
      </c>
      <c r="O317" t="s">
        <v>71</v>
      </c>
      <c r="P317" t="s">
        <v>280</v>
      </c>
      <c r="Q317" t="s">
        <v>73</v>
      </c>
      <c r="R317" t="s">
        <v>98</v>
      </c>
      <c r="S317" t="s">
        <v>98</v>
      </c>
      <c r="T317" t="s">
        <v>386</v>
      </c>
      <c r="U317">
        <v>8412290000</v>
      </c>
      <c r="V317" t="s">
        <v>164</v>
      </c>
      <c r="W317" t="s">
        <v>949</v>
      </c>
      <c r="X317" t="s">
        <v>948</v>
      </c>
      <c r="Y317" t="s">
        <v>783</v>
      </c>
      <c r="Z317" t="s">
        <v>221</v>
      </c>
      <c r="AB317" t="s">
        <v>221</v>
      </c>
      <c r="AC317" t="s">
        <v>763</v>
      </c>
      <c r="AD317" t="s">
        <v>784</v>
      </c>
      <c r="AE317" t="s">
        <v>221</v>
      </c>
      <c r="AG317">
        <v>6626.27</v>
      </c>
      <c r="AH317">
        <v>31.09</v>
      </c>
      <c r="AI317">
        <v>66.260000000000005</v>
      </c>
      <c r="AJ317">
        <v>6723.62</v>
      </c>
      <c r="AK317">
        <v>0</v>
      </c>
      <c r="AL317">
        <v>1075.78</v>
      </c>
      <c r="AM317">
        <v>134.47</v>
      </c>
      <c r="AN317">
        <v>226.71</v>
      </c>
      <c r="AO317">
        <v>238.89</v>
      </c>
      <c r="AP317">
        <v>2</v>
      </c>
      <c r="AQ317" t="s">
        <v>82</v>
      </c>
      <c r="AR317">
        <v>3361.8090000000002</v>
      </c>
      <c r="AS317">
        <v>2</v>
      </c>
      <c r="AT317" t="s">
        <v>107</v>
      </c>
      <c r="AU317" t="s">
        <v>84</v>
      </c>
      <c r="AV317">
        <v>0</v>
      </c>
      <c r="AW317" t="s">
        <v>85</v>
      </c>
      <c r="AX317" t="s">
        <v>390</v>
      </c>
      <c r="AY317" t="s">
        <v>108</v>
      </c>
      <c r="AZ317" t="s">
        <v>291</v>
      </c>
      <c r="BA317" t="s">
        <v>323</v>
      </c>
      <c r="BB317" t="s">
        <v>90</v>
      </c>
      <c r="BC317">
        <v>2251</v>
      </c>
      <c r="BD317">
        <v>20250912</v>
      </c>
      <c r="BE317">
        <v>3313.1350000000002</v>
      </c>
      <c r="BF317" t="s">
        <v>908</v>
      </c>
      <c r="BG317" t="s">
        <v>907</v>
      </c>
      <c r="BH317">
        <v>20250810</v>
      </c>
      <c r="BI317" t="s">
        <v>906</v>
      </c>
      <c r="BK317" t="s">
        <v>91</v>
      </c>
      <c r="BL317" t="s">
        <v>886</v>
      </c>
    </row>
    <row r="318" spans="1:64" x14ac:dyDescent="0.2">
      <c r="A318">
        <v>9</v>
      </c>
      <c r="B318">
        <v>9</v>
      </c>
      <c r="C318">
        <v>2025</v>
      </c>
      <c r="D318">
        <v>146421</v>
      </c>
      <c r="E318">
        <v>1</v>
      </c>
      <c r="F318" t="s">
        <v>65</v>
      </c>
      <c r="G318" t="s">
        <v>66</v>
      </c>
      <c r="H318">
        <v>20550731399</v>
      </c>
      <c r="I318" t="s">
        <v>67</v>
      </c>
      <c r="J318" t="s">
        <v>68</v>
      </c>
      <c r="K318" t="s">
        <v>69</v>
      </c>
      <c r="L318" t="s">
        <v>69</v>
      </c>
      <c r="M318" t="s">
        <v>70</v>
      </c>
      <c r="N318" t="s">
        <v>71</v>
      </c>
      <c r="O318" t="s">
        <v>71</v>
      </c>
      <c r="P318" t="s">
        <v>72</v>
      </c>
      <c r="Q318" t="s">
        <v>73</v>
      </c>
      <c r="R318" t="s">
        <v>74</v>
      </c>
      <c r="S318" t="s">
        <v>74</v>
      </c>
      <c r="T318" t="s">
        <v>163</v>
      </c>
      <c r="U318">
        <v>8483500000</v>
      </c>
      <c r="V318" t="s">
        <v>328</v>
      </c>
      <c r="W318" t="s">
        <v>989</v>
      </c>
      <c r="X318" t="s">
        <v>988</v>
      </c>
      <c r="Z318" t="s">
        <v>268</v>
      </c>
      <c r="AA318" t="s">
        <v>987</v>
      </c>
      <c r="AG318">
        <v>6945.6</v>
      </c>
      <c r="AH318">
        <v>380</v>
      </c>
      <c r="AI318">
        <v>69.459999999999994</v>
      </c>
      <c r="AJ318">
        <v>7395.06</v>
      </c>
      <c r="AK318">
        <v>0</v>
      </c>
      <c r="AL318">
        <v>1183.21</v>
      </c>
      <c r="AM318">
        <v>147.9</v>
      </c>
      <c r="AN318">
        <v>49.4</v>
      </c>
      <c r="AO318">
        <v>52.8</v>
      </c>
      <c r="AP318">
        <v>1</v>
      </c>
      <c r="AQ318" t="s">
        <v>82</v>
      </c>
      <c r="AR318">
        <v>7395.0559999999996</v>
      </c>
      <c r="AS318">
        <v>1</v>
      </c>
      <c r="AT318" t="s">
        <v>107</v>
      </c>
      <c r="AU318" t="s">
        <v>84</v>
      </c>
      <c r="AV318">
        <v>1</v>
      </c>
      <c r="AW318" t="s">
        <v>85</v>
      </c>
      <c r="AX318" t="s">
        <v>215</v>
      </c>
      <c r="AY318" t="s">
        <v>108</v>
      </c>
      <c r="BA318" t="s">
        <v>170</v>
      </c>
      <c r="BB318" t="s">
        <v>90</v>
      </c>
      <c r="BC318">
        <v>23471</v>
      </c>
      <c r="BD318">
        <v>20250910</v>
      </c>
      <c r="BE318">
        <v>6945.6</v>
      </c>
      <c r="BG318">
        <v>425200985</v>
      </c>
      <c r="BH318">
        <v>20250909</v>
      </c>
      <c r="BK318" t="s">
        <v>171</v>
      </c>
      <c r="BL318" t="s">
        <v>886</v>
      </c>
    </row>
    <row r="319" spans="1:64" x14ac:dyDescent="0.2">
      <c r="A319">
        <v>12</v>
      </c>
      <c r="B319">
        <v>9</v>
      </c>
      <c r="C319">
        <v>2025</v>
      </c>
      <c r="D319">
        <v>148616</v>
      </c>
      <c r="E319">
        <v>6</v>
      </c>
      <c r="F319" t="s">
        <v>65</v>
      </c>
      <c r="G319" t="s">
        <v>66</v>
      </c>
      <c r="H319">
        <v>20550731399</v>
      </c>
      <c r="I319" t="s">
        <v>67</v>
      </c>
      <c r="J319" t="s">
        <v>68</v>
      </c>
      <c r="K319" t="s">
        <v>69</v>
      </c>
      <c r="L319" t="s">
        <v>69</v>
      </c>
      <c r="M319" t="s">
        <v>70</v>
      </c>
      <c r="N319" t="s">
        <v>71</v>
      </c>
      <c r="O319" t="s">
        <v>71</v>
      </c>
      <c r="P319" t="s">
        <v>72</v>
      </c>
      <c r="Q319" t="s">
        <v>73</v>
      </c>
      <c r="R319" t="s">
        <v>74</v>
      </c>
      <c r="S319" t="s">
        <v>74</v>
      </c>
      <c r="T319" t="s">
        <v>163</v>
      </c>
      <c r="U319">
        <v>8413919000</v>
      </c>
      <c r="V319" t="s">
        <v>229</v>
      </c>
      <c r="W319" t="s">
        <v>986</v>
      </c>
      <c r="X319" t="s">
        <v>985</v>
      </c>
      <c r="Y319" t="s">
        <v>870</v>
      </c>
      <c r="Z319" t="s">
        <v>983</v>
      </c>
      <c r="AB319" t="s">
        <v>881</v>
      </c>
      <c r="AC319" t="s">
        <v>792</v>
      </c>
      <c r="AD319" t="s">
        <v>984</v>
      </c>
      <c r="AE319" t="s">
        <v>983</v>
      </c>
      <c r="AG319">
        <v>693.64</v>
      </c>
      <c r="AH319">
        <v>16.68</v>
      </c>
      <c r="AI319">
        <v>6.94</v>
      </c>
      <c r="AJ319">
        <v>717.25</v>
      </c>
      <c r="AK319">
        <v>0</v>
      </c>
      <c r="AL319">
        <v>114.76</v>
      </c>
      <c r="AM319">
        <v>14.35</v>
      </c>
      <c r="AN319">
        <v>12.65</v>
      </c>
      <c r="AO319">
        <v>13.35</v>
      </c>
      <c r="AP319">
        <v>2</v>
      </c>
      <c r="AQ319" t="s">
        <v>82</v>
      </c>
      <c r="AR319">
        <v>358.625</v>
      </c>
      <c r="AS319">
        <v>2</v>
      </c>
      <c r="AT319" t="s">
        <v>107</v>
      </c>
      <c r="AU319" t="s">
        <v>84</v>
      </c>
      <c r="AV319">
        <v>0</v>
      </c>
      <c r="AW319" t="s">
        <v>85</v>
      </c>
      <c r="AX319" t="s">
        <v>901</v>
      </c>
      <c r="AY319" t="s">
        <v>108</v>
      </c>
      <c r="BA319" t="s">
        <v>170</v>
      </c>
      <c r="BB319" t="s">
        <v>90</v>
      </c>
      <c r="BC319">
        <v>23474</v>
      </c>
      <c r="BD319">
        <v>20250914</v>
      </c>
      <c r="BE319">
        <v>346.82</v>
      </c>
      <c r="BG319" t="s">
        <v>900</v>
      </c>
      <c r="BH319">
        <v>20250911</v>
      </c>
      <c r="BL319" t="s">
        <v>886</v>
      </c>
    </row>
    <row r="320" spans="1:64" x14ac:dyDescent="0.2">
      <c r="A320">
        <v>12</v>
      </c>
      <c r="B320">
        <v>9</v>
      </c>
      <c r="C320">
        <v>2025</v>
      </c>
      <c r="D320">
        <v>148616</v>
      </c>
      <c r="E320">
        <v>2</v>
      </c>
      <c r="F320" t="s">
        <v>65</v>
      </c>
      <c r="G320" t="s">
        <v>66</v>
      </c>
      <c r="H320">
        <v>20550731399</v>
      </c>
      <c r="I320" t="s">
        <v>67</v>
      </c>
      <c r="J320" t="s">
        <v>68</v>
      </c>
      <c r="K320" t="s">
        <v>69</v>
      </c>
      <c r="L320" t="s">
        <v>69</v>
      </c>
      <c r="M320" t="s">
        <v>70</v>
      </c>
      <c r="N320" t="s">
        <v>71</v>
      </c>
      <c r="O320" t="s">
        <v>71</v>
      </c>
      <c r="P320" t="s">
        <v>72</v>
      </c>
      <c r="Q320" t="s">
        <v>73</v>
      </c>
      <c r="R320" t="s">
        <v>74</v>
      </c>
      <c r="S320" t="s">
        <v>74</v>
      </c>
      <c r="T320" t="s">
        <v>163</v>
      </c>
      <c r="U320">
        <v>8413190000</v>
      </c>
      <c r="V320" t="s">
        <v>100</v>
      </c>
      <c r="W320" t="s">
        <v>982</v>
      </c>
      <c r="X320" t="s">
        <v>981</v>
      </c>
      <c r="Z320" t="s">
        <v>980</v>
      </c>
      <c r="AB320" t="s">
        <v>936</v>
      </c>
      <c r="AC320" t="s">
        <v>792</v>
      </c>
      <c r="AD320" t="s">
        <v>1414</v>
      </c>
      <c r="AE320" t="s">
        <v>980</v>
      </c>
      <c r="AG320">
        <v>496.94</v>
      </c>
      <c r="AH320">
        <v>11.95</v>
      </c>
      <c r="AI320">
        <v>4.97</v>
      </c>
      <c r="AJ320">
        <v>513.86</v>
      </c>
      <c r="AK320">
        <v>0</v>
      </c>
      <c r="AL320">
        <v>82.22</v>
      </c>
      <c r="AM320">
        <v>10.28</v>
      </c>
      <c r="AN320">
        <v>9.06</v>
      </c>
      <c r="AO320">
        <v>9.57</v>
      </c>
      <c r="AP320">
        <v>3</v>
      </c>
      <c r="AQ320" t="s">
        <v>82</v>
      </c>
      <c r="AR320">
        <v>171.285</v>
      </c>
      <c r="AS320">
        <v>3</v>
      </c>
      <c r="AT320" t="s">
        <v>107</v>
      </c>
      <c r="AU320" t="s">
        <v>84</v>
      </c>
      <c r="AV320">
        <v>0</v>
      </c>
      <c r="AW320" t="s">
        <v>85</v>
      </c>
      <c r="AX320" t="s">
        <v>901</v>
      </c>
      <c r="AY320" t="s">
        <v>108</v>
      </c>
      <c r="BA320" t="s">
        <v>170</v>
      </c>
      <c r="BB320" t="s">
        <v>90</v>
      </c>
      <c r="BC320">
        <v>23474</v>
      </c>
      <c r="BD320">
        <v>20250914</v>
      </c>
      <c r="BE320">
        <v>165.64699999999999</v>
      </c>
      <c r="BG320" t="s">
        <v>900</v>
      </c>
      <c r="BH320">
        <v>20250911</v>
      </c>
      <c r="BL320" t="s">
        <v>886</v>
      </c>
    </row>
    <row r="321" spans="1:64" x14ac:dyDescent="0.2">
      <c r="A321">
        <v>12</v>
      </c>
      <c r="B321">
        <v>9</v>
      </c>
      <c r="C321">
        <v>2025</v>
      </c>
      <c r="D321">
        <v>148616</v>
      </c>
      <c r="E321">
        <v>12</v>
      </c>
      <c r="F321" t="s">
        <v>65</v>
      </c>
      <c r="G321" t="s">
        <v>66</v>
      </c>
      <c r="H321">
        <v>20550731399</v>
      </c>
      <c r="I321" t="s">
        <v>67</v>
      </c>
      <c r="J321" t="s">
        <v>68</v>
      </c>
      <c r="K321" t="s">
        <v>69</v>
      </c>
      <c r="L321" t="s">
        <v>69</v>
      </c>
      <c r="M321" t="s">
        <v>70</v>
      </c>
      <c r="N321" t="s">
        <v>71</v>
      </c>
      <c r="O321" t="s">
        <v>71</v>
      </c>
      <c r="P321" t="s">
        <v>72</v>
      </c>
      <c r="Q321" t="s">
        <v>73</v>
      </c>
      <c r="R321" t="s">
        <v>74</v>
      </c>
      <c r="S321" t="s">
        <v>74</v>
      </c>
      <c r="T321" t="s">
        <v>163</v>
      </c>
      <c r="U321">
        <v>8412290000</v>
      </c>
      <c r="V321" t="s">
        <v>164</v>
      </c>
      <c r="W321" t="s">
        <v>979</v>
      </c>
      <c r="X321" t="s">
        <v>978</v>
      </c>
      <c r="Z321" t="s">
        <v>286</v>
      </c>
      <c r="AB321" t="s">
        <v>167</v>
      </c>
      <c r="AC321" t="s">
        <v>792</v>
      </c>
      <c r="AD321" t="s">
        <v>977</v>
      </c>
      <c r="AE321" t="s">
        <v>286</v>
      </c>
      <c r="AG321">
        <v>519.72</v>
      </c>
      <c r="AH321">
        <v>12.49</v>
      </c>
      <c r="AI321">
        <v>5.2</v>
      </c>
      <c r="AJ321">
        <v>537.41</v>
      </c>
      <c r="AK321">
        <v>0</v>
      </c>
      <c r="AL321">
        <v>85.99</v>
      </c>
      <c r="AM321">
        <v>10.75</v>
      </c>
      <c r="AN321">
        <v>9.48</v>
      </c>
      <c r="AO321">
        <v>10.01</v>
      </c>
      <c r="AP321">
        <v>1</v>
      </c>
      <c r="AQ321" t="s">
        <v>82</v>
      </c>
      <c r="AR321">
        <v>537.41</v>
      </c>
      <c r="AS321">
        <v>1</v>
      </c>
      <c r="AT321" t="s">
        <v>290</v>
      </c>
      <c r="AU321" t="s">
        <v>84</v>
      </c>
      <c r="AV321">
        <v>0</v>
      </c>
      <c r="AW321" t="s">
        <v>85</v>
      </c>
      <c r="AX321" t="s">
        <v>901</v>
      </c>
      <c r="AY321" t="s">
        <v>108</v>
      </c>
      <c r="BA321" t="s">
        <v>170</v>
      </c>
      <c r="BB321" t="s">
        <v>90</v>
      </c>
      <c r="BC321">
        <v>23474</v>
      </c>
      <c r="BD321">
        <v>20250914</v>
      </c>
      <c r="BE321">
        <v>519.72</v>
      </c>
      <c r="BG321" t="s">
        <v>900</v>
      </c>
      <c r="BH321">
        <v>20250911</v>
      </c>
      <c r="BL321" t="s">
        <v>886</v>
      </c>
    </row>
    <row r="322" spans="1:64" x14ac:dyDescent="0.2">
      <c r="A322">
        <v>12</v>
      </c>
      <c r="B322">
        <v>9</v>
      </c>
      <c r="C322">
        <v>2025</v>
      </c>
      <c r="D322">
        <v>148616</v>
      </c>
      <c r="E322">
        <v>5</v>
      </c>
      <c r="F322" t="s">
        <v>65</v>
      </c>
      <c r="G322" t="s">
        <v>66</v>
      </c>
      <c r="H322">
        <v>20550731399</v>
      </c>
      <c r="I322" t="s">
        <v>67</v>
      </c>
      <c r="J322" t="s">
        <v>68</v>
      </c>
      <c r="K322" t="s">
        <v>69</v>
      </c>
      <c r="L322" t="s">
        <v>69</v>
      </c>
      <c r="M322" t="s">
        <v>70</v>
      </c>
      <c r="N322" t="s">
        <v>71</v>
      </c>
      <c r="O322" t="s">
        <v>71</v>
      </c>
      <c r="P322" t="s">
        <v>72</v>
      </c>
      <c r="Q322" t="s">
        <v>73</v>
      </c>
      <c r="R322" t="s">
        <v>74</v>
      </c>
      <c r="S322" t="s">
        <v>74</v>
      </c>
      <c r="T322" t="s">
        <v>163</v>
      </c>
      <c r="U322">
        <v>8413190000</v>
      </c>
      <c r="V322" t="s">
        <v>100</v>
      </c>
      <c r="W322" t="s">
        <v>938</v>
      </c>
      <c r="X322" t="s">
        <v>976</v>
      </c>
      <c r="Y322" t="s">
        <v>870</v>
      </c>
      <c r="Z322" t="s">
        <v>975</v>
      </c>
      <c r="AB322" t="s">
        <v>936</v>
      </c>
      <c r="AC322" t="s">
        <v>792</v>
      </c>
      <c r="AD322" t="s">
        <v>1396</v>
      </c>
      <c r="AE322" t="s">
        <v>975</v>
      </c>
      <c r="AG322">
        <v>378.92</v>
      </c>
      <c r="AH322">
        <v>9.11</v>
      </c>
      <c r="AI322">
        <v>3.79</v>
      </c>
      <c r="AJ322">
        <v>391.82</v>
      </c>
      <c r="AK322">
        <v>0</v>
      </c>
      <c r="AL322">
        <v>62.69</v>
      </c>
      <c r="AM322">
        <v>7.84</v>
      </c>
      <c r="AN322">
        <v>6.91</v>
      </c>
      <c r="AO322">
        <v>7.29</v>
      </c>
      <c r="AP322">
        <v>2</v>
      </c>
      <c r="AQ322" t="s">
        <v>82</v>
      </c>
      <c r="AR322">
        <v>195.91</v>
      </c>
      <c r="AS322">
        <v>2</v>
      </c>
      <c r="AT322" t="s">
        <v>107</v>
      </c>
      <c r="AU322" t="s">
        <v>84</v>
      </c>
      <c r="AV322">
        <v>0</v>
      </c>
      <c r="AW322" t="s">
        <v>85</v>
      </c>
      <c r="AX322" t="s">
        <v>901</v>
      </c>
      <c r="AY322" t="s">
        <v>108</v>
      </c>
      <c r="BA322" t="s">
        <v>170</v>
      </c>
      <c r="BB322" t="s">
        <v>90</v>
      </c>
      <c r="BC322">
        <v>23474</v>
      </c>
      <c r="BD322">
        <v>20250914</v>
      </c>
      <c r="BE322">
        <v>189.46</v>
      </c>
      <c r="BG322" t="s">
        <v>900</v>
      </c>
      <c r="BH322">
        <v>20250911</v>
      </c>
      <c r="BL322" t="s">
        <v>886</v>
      </c>
    </row>
    <row r="323" spans="1:64" x14ac:dyDescent="0.2">
      <c r="A323">
        <v>8</v>
      </c>
      <c r="B323">
        <v>9</v>
      </c>
      <c r="C323">
        <v>2025</v>
      </c>
      <c r="D323">
        <v>386133</v>
      </c>
      <c r="E323">
        <v>5</v>
      </c>
      <c r="F323" t="s">
        <v>279</v>
      </c>
      <c r="G323" t="s">
        <v>66</v>
      </c>
      <c r="H323">
        <v>20550731399</v>
      </c>
      <c r="I323" t="s">
        <v>67</v>
      </c>
      <c r="J323" t="s">
        <v>68</v>
      </c>
      <c r="K323" t="s">
        <v>69</v>
      </c>
      <c r="L323" t="s">
        <v>69</v>
      </c>
      <c r="M323" t="s">
        <v>70</v>
      </c>
      <c r="N323" t="s">
        <v>71</v>
      </c>
      <c r="O323" t="s">
        <v>71</v>
      </c>
      <c r="P323" t="s">
        <v>280</v>
      </c>
      <c r="Q323" t="s">
        <v>73</v>
      </c>
      <c r="R323" t="s">
        <v>98</v>
      </c>
      <c r="S323" t="s">
        <v>98</v>
      </c>
      <c r="T323" t="s">
        <v>386</v>
      </c>
      <c r="U323">
        <v>8412290000</v>
      </c>
      <c r="V323" t="s">
        <v>164</v>
      </c>
      <c r="W323" t="s">
        <v>974</v>
      </c>
      <c r="X323" t="s">
        <v>973</v>
      </c>
      <c r="Y323" t="s">
        <v>972</v>
      </c>
      <c r="Z323" t="s">
        <v>221</v>
      </c>
      <c r="AB323" t="s">
        <v>221</v>
      </c>
      <c r="AC323" t="s">
        <v>763</v>
      </c>
      <c r="AD323" t="s">
        <v>971</v>
      </c>
      <c r="AE323" t="s">
        <v>221</v>
      </c>
      <c r="AG323">
        <v>3348.61</v>
      </c>
      <c r="AH323">
        <v>15.71</v>
      </c>
      <c r="AI323">
        <v>33.49</v>
      </c>
      <c r="AJ323">
        <v>3397.8</v>
      </c>
      <c r="AK323">
        <v>0</v>
      </c>
      <c r="AL323">
        <v>543.65</v>
      </c>
      <c r="AM323">
        <v>67.959999999999994</v>
      </c>
      <c r="AN323">
        <v>114.57</v>
      </c>
      <c r="AO323">
        <v>120.72</v>
      </c>
      <c r="AP323">
        <v>2</v>
      </c>
      <c r="AQ323" t="s">
        <v>82</v>
      </c>
      <c r="AR323">
        <v>1698.902</v>
      </c>
      <c r="AS323">
        <v>2</v>
      </c>
      <c r="AT323" t="s">
        <v>107</v>
      </c>
      <c r="AU323" t="s">
        <v>84</v>
      </c>
      <c r="AV323">
        <v>0</v>
      </c>
      <c r="AW323" t="s">
        <v>85</v>
      </c>
      <c r="AX323" t="s">
        <v>390</v>
      </c>
      <c r="AY323" t="s">
        <v>108</v>
      </c>
      <c r="AZ323" t="s">
        <v>291</v>
      </c>
      <c r="BA323" t="s">
        <v>323</v>
      </c>
      <c r="BB323" t="s">
        <v>90</v>
      </c>
      <c r="BC323">
        <v>2251</v>
      </c>
      <c r="BD323">
        <v>20250912</v>
      </c>
      <c r="BE323">
        <v>1674.3050000000001</v>
      </c>
      <c r="BF323" t="s">
        <v>908</v>
      </c>
      <c r="BG323" t="s">
        <v>907</v>
      </c>
      <c r="BH323">
        <v>20250810</v>
      </c>
      <c r="BI323" t="s">
        <v>906</v>
      </c>
      <c r="BK323" t="s">
        <v>91</v>
      </c>
      <c r="BL323" t="s">
        <v>886</v>
      </c>
    </row>
    <row r="324" spans="1:64" x14ac:dyDescent="0.2">
      <c r="A324">
        <v>12</v>
      </c>
      <c r="B324">
        <v>9</v>
      </c>
      <c r="C324">
        <v>2025</v>
      </c>
      <c r="D324">
        <v>148616</v>
      </c>
      <c r="E324">
        <v>10</v>
      </c>
      <c r="F324" t="s">
        <v>65</v>
      </c>
      <c r="G324" t="s">
        <v>66</v>
      </c>
      <c r="H324">
        <v>20550731399</v>
      </c>
      <c r="I324" t="s">
        <v>67</v>
      </c>
      <c r="J324" t="s">
        <v>68</v>
      </c>
      <c r="K324" t="s">
        <v>69</v>
      </c>
      <c r="L324" t="s">
        <v>69</v>
      </c>
      <c r="M324" t="s">
        <v>70</v>
      </c>
      <c r="N324" t="s">
        <v>71</v>
      </c>
      <c r="O324" t="s">
        <v>71</v>
      </c>
      <c r="P324" t="s">
        <v>72</v>
      </c>
      <c r="Q324" t="s">
        <v>73</v>
      </c>
      <c r="R324" t="s">
        <v>74</v>
      </c>
      <c r="S324" t="s">
        <v>74</v>
      </c>
      <c r="T324" t="s">
        <v>163</v>
      </c>
      <c r="U324">
        <v>8413919000</v>
      </c>
      <c r="V324" t="s">
        <v>229</v>
      </c>
      <c r="W324" t="s">
        <v>970</v>
      </c>
      <c r="X324" t="s">
        <v>969</v>
      </c>
      <c r="Y324" t="s">
        <v>870</v>
      </c>
      <c r="Z324" t="s">
        <v>968</v>
      </c>
      <c r="AB324" t="s">
        <v>922</v>
      </c>
      <c r="AC324" t="s">
        <v>792</v>
      </c>
      <c r="AD324" t="s">
        <v>185</v>
      </c>
      <c r="AE324" t="s">
        <v>968</v>
      </c>
      <c r="AG324">
        <v>1364.51</v>
      </c>
      <c r="AH324">
        <v>32.799999999999997</v>
      </c>
      <c r="AI324">
        <v>13.64</v>
      </c>
      <c r="AJ324">
        <v>1410.96</v>
      </c>
      <c r="AK324">
        <v>0</v>
      </c>
      <c r="AL324">
        <v>225.75</v>
      </c>
      <c r="AM324">
        <v>28.22</v>
      </c>
      <c r="AN324">
        <v>24.88</v>
      </c>
      <c r="AO324">
        <v>26.27</v>
      </c>
      <c r="AP324">
        <v>2</v>
      </c>
      <c r="AQ324" t="s">
        <v>82</v>
      </c>
      <c r="AR324">
        <v>705.48</v>
      </c>
      <c r="AS324">
        <v>2</v>
      </c>
      <c r="AT324" t="s">
        <v>107</v>
      </c>
      <c r="AU324" t="s">
        <v>84</v>
      </c>
      <c r="AV324">
        <v>0</v>
      </c>
      <c r="AW324" t="s">
        <v>85</v>
      </c>
      <c r="AX324" t="s">
        <v>901</v>
      </c>
      <c r="AY324" t="s">
        <v>108</v>
      </c>
      <c r="BA324" t="s">
        <v>170</v>
      </c>
      <c r="BB324" t="s">
        <v>90</v>
      </c>
      <c r="BC324">
        <v>23474</v>
      </c>
      <c r="BD324">
        <v>20250914</v>
      </c>
      <c r="BE324">
        <v>682.255</v>
      </c>
      <c r="BG324" t="s">
        <v>900</v>
      </c>
      <c r="BH324">
        <v>20250911</v>
      </c>
      <c r="BL324" t="s">
        <v>886</v>
      </c>
    </row>
    <row r="325" spans="1:64" x14ac:dyDescent="0.2">
      <c r="A325">
        <v>22</v>
      </c>
      <c r="B325">
        <v>9</v>
      </c>
      <c r="C325">
        <v>2025</v>
      </c>
      <c r="D325">
        <v>154422</v>
      </c>
      <c r="E325">
        <v>1</v>
      </c>
      <c r="F325" t="s">
        <v>65</v>
      </c>
      <c r="G325" t="s">
        <v>66</v>
      </c>
      <c r="H325">
        <v>20550731399</v>
      </c>
      <c r="I325" t="s">
        <v>67</v>
      </c>
      <c r="J325" t="s">
        <v>68</v>
      </c>
      <c r="K325" t="s">
        <v>69</v>
      </c>
      <c r="L325" t="s">
        <v>69</v>
      </c>
      <c r="M325" t="s">
        <v>70</v>
      </c>
      <c r="N325" t="s">
        <v>71</v>
      </c>
      <c r="O325" t="s">
        <v>71</v>
      </c>
      <c r="P325" t="s">
        <v>72</v>
      </c>
      <c r="Q325" t="s">
        <v>73</v>
      </c>
      <c r="R325" t="s">
        <v>98</v>
      </c>
      <c r="S325" t="s">
        <v>98</v>
      </c>
      <c r="T325" t="s">
        <v>99</v>
      </c>
      <c r="U325">
        <v>8413190000</v>
      </c>
      <c r="V325" t="s">
        <v>100</v>
      </c>
      <c r="W325" t="s">
        <v>967</v>
      </c>
      <c r="X325" t="s">
        <v>102</v>
      </c>
      <c r="Z325" t="s">
        <v>965</v>
      </c>
      <c r="AB325" t="s">
        <v>104</v>
      </c>
      <c r="AC325" t="s">
        <v>105</v>
      </c>
      <c r="AD325" t="s">
        <v>966</v>
      </c>
      <c r="AE325" t="s">
        <v>965</v>
      </c>
      <c r="AG325">
        <v>5294.99</v>
      </c>
      <c r="AH325">
        <v>200.6</v>
      </c>
      <c r="AI325">
        <v>52.95</v>
      </c>
      <c r="AJ325">
        <v>5548.54</v>
      </c>
      <c r="AK325">
        <v>0</v>
      </c>
      <c r="AL325">
        <v>887.77</v>
      </c>
      <c r="AM325">
        <v>110.97</v>
      </c>
      <c r="AN325">
        <v>70.66</v>
      </c>
      <c r="AO325">
        <v>76.349999999999994</v>
      </c>
      <c r="AP325">
        <v>40</v>
      </c>
      <c r="AQ325" t="s">
        <v>82</v>
      </c>
      <c r="AR325">
        <v>138.714</v>
      </c>
      <c r="AS325">
        <v>40</v>
      </c>
      <c r="AT325" t="s">
        <v>107</v>
      </c>
      <c r="AU325" t="s">
        <v>84</v>
      </c>
      <c r="AV325">
        <v>6</v>
      </c>
      <c r="AW325" t="s">
        <v>85</v>
      </c>
      <c r="AY325" t="s">
        <v>108</v>
      </c>
      <c r="AZ325" t="s">
        <v>109</v>
      </c>
      <c r="BA325" t="s">
        <v>170</v>
      </c>
      <c r="BB325" t="s">
        <v>90</v>
      </c>
      <c r="BC325">
        <v>29055</v>
      </c>
      <c r="BD325">
        <v>20250923</v>
      </c>
      <c r="BE325">
        <v>132.375</v>
      </c>
      <c r="BG325" t="s">
        <v>960</v>
      </c>
      <c r="BH325">
        <v>20250918</v>
      </c>
      <c r="BL325" t="s">
        <v>886</v>
      </c>
    </row>
    <row r="326" spans="1:64" x14ac:dyDescent="0.2">
      <c r="A326">
        <v>22</v>
      </c>
      <c r="B326">
        <v>9</v>
      </c>
      <c r="C326">
        <v>2025</v>
      </c>
      <c r="D326">
        <v>154422</v>
      </c>
      <c r="E326">
        <v>2</v>
      </c>
      <c r="F326" t="s">
        <v>65</v>
      </c>
      <c r="G326" t="s">
        <v>66</v>
      </c>
      <c r="H326">
        <v>20550731399</v>
      </c>
      <c r="I326" t="s">
        <v>67</v>
      </c>
      <c r="J326" t="s">
        <v>68</v>
      </c>
      <c r="K326" t="s">
        <v>69</v>
      </c>
      <c r="L326" t="s">
        <v>69</v>
      </c>
      <c r="M326" t="s">
        <v>70</v>
      </c>
      <c r="N326" t="s">
        <v>71</v>
      </c>
      <c r="O326" t="s">
        <v>71</v>
      </c>
      <c r="P326" t="s">
        <v>72</v>
      </c>
      <c r="Q326" t="s">
        <v>73</v>
      </c>
      <c r="R326" t="s">
        <v>98</v>
      </c>
      <c r="S326" t="s">
        <v>98</v>
      </c>
      <c r="T326" t="s">
        <v>99</v>
      </c>
      <c r="U326">
        <v>8413190000</v>
      </c>
      <c r="V326" t="s">
        <v>100</v>
      </c>
      <c r="W326" t="s">
        <v>964</v>
      </c>
      <c r="X326" t="s">
        <v>963</v>
      </c>
      <c r="Z326" t="s">
        <v>961</v>
      </c>
      <c r="AB326" t="s">
        <v>104</v>
      </c>
      <c r="AC326" t="s">
        <v>105</v>
      </c>
      <c r="AD326" t="s">
        <v>962</v>
      </c>
      <c r="AE326" t="s">
        <v>961</v>
      </c>
      <c r="AG326">
        <v>4400.57</v>
      </c>
      <c r="AH326">
        <v>166.72</v>
      </c>
      <c r="AI326">
        <v>44.01</v>
      </c>
      <c r="AJ326">
        <v>4611.3</v>
      </c>
      <c r="AK326">
        <v>0</v>
      </c>
      <c r="AL326">
        <v>737.81</v>
      </c>
      <c r="AM326">
        <v>92.23</v>
      </c>
      <c r="AN326">
        <v>58.73</v>
      </c>
      <c r="AO326">
        <v>63.45</v>
      </c>
      <c r="AP326">
        <v>10</v>
      </c>
      <c r="AQ326" t="s">
        <v>82</v>
      </c>
      <c r="AR326">
        <v>461.13</v>
      </c>
      <c r="AS326">
        <v>10</v>
      </c>
      <c r="AT326" t="s">
        <v>107</v>
      </c>
      <c r="AU326" t="s">
        <v>84</v>
      </c>
      <c r="AV326">
        <v>0</v>
      </c>
      <c r="AW326" t="s">
        <v>85</v>
      </c>
      <c r="AY326" t="s">
        <v>108</v>
      </c>
      <c r="AZ326" t="s">
        <v>109</v>
      </c>
      <c r="BA326" t="s">
        <v>170</v>
      </c>
      <c r="BB326" t="s">
        <v>90</v>
      </c>
      <c r="BC326">
        <v>29055</v>
      </c>
      <c r="BD326">
        <v>20250923</v>
      </c>
      <c r="BE326">
        <v>440.05700000000002</v>
      </c>
      <c r="BG326" t="s">
        <v>960</v>
      </c>
      <c r="BH326">
        <v>20250918</v>
      </c>
      <c r="BL326" t="s">
        <v>886</v>
      </c>
    </row>
    <row r="327" spans="1:64" x14ac:dyDescent="0.2">
      <c r="A327">
        <v>12</v>
      </c>
      <c r="B327">
        <v>9</v>
      </c>
      <c r="C327">
        <v>2025</v>
      </c>
      <c r="D327">
        <v>148616</v>
      </c>
      <c r="E327">
        <v>8</v>
      </c>
      <c r="F327" t="s">
        <v>65</v>
      </c>
      <c r="G327" t="s">
        <v>66</v>
      </c>
      <c r="H327">
        <v>20550731399</v>
      </c>
      <c r="I327" t="s">
        <v>67</v>
      </c>
      <c r="J327" t="s">
        <v>68</v>
      </c>
      <c r="K327" t="s">
        <v>69</v>
      </c>
      <c r="L327" t="s">
        <v>69</v>
      </c>
      <c r="M327" t="s">
        <v>70</v>
      </c>
      <c r="N327" t="s">
        <v>71</v>
      </c>
      <c r="O327" t="s">
        <v>71</v>
      </c>
      <c r="P327" t="s">
        <v>72</v>
      </c>
      <c r="Q327" t="s">
        <v>73</v>
      </c>
      <c r="R327" t="s">
        <v>74</v>
      </c>
      <c r="S327" t="s">
        <v>74</v>
      </c>
      <c r="T327" t="s">
        <v>163</v>
      </c>
      <c r="U327">
        <v>8412290000</v>
      </c>
      <c r="V327" t="s">
        <v>164</v>
      </c>
      <c r="W327" t="s">
        <v>959</v>
      </c>
      <c r="X327" t="s">
        <v>958</v>
      </c>
      <c r="Y327" t="s">
        <v>870</v>
      </c>
      <c r="Z327" t="s">
        <v>957</v>
      </c>
      <c r="AB327" t="s">
        <v>79</v>
      </c>
      <c r="AC327" t="s">
        <v>792</v>
      </c>
      <c r="AD327" t="s">
        <v>1396</v>
      </c>
      <c r="AE327" t="s">
        <v>957</v>
      </c>
      <c r="AG327">
        <v>289.88</v>
      </c>
      <c r="AH327">
        <v>6.97</v>
      </c>
      <c r="AI327">
        <v>2.9</v>
      </c>
      <c r="AJ327">
        <v>299.75</v>
      </c>
      <c r="AK327">
        <v>0</v>
      </c>
      <c r="AL327">
        <v>47.96</v>
      </c>
      <c r="AM327">
        <v>6</v>
      </c>
      <c r="AN327">
        <v>5.29</v>
      </c>
      <c r="AO327">
        <v>5.58</v>
      </c>
      <c r="AP327">
        <v>20</v>
      </c>
      <c r="AQ327" t="s">
        <v>82</v>
      </c>
      <c r="AR327">
        <v>14.987</v>
      </c>
      <c r="AS327">
        <v>20</v>
      </c>
      <c r="AT327" t="s">
        <v>107</v>
      </c>
      <c r="AU327" t="s">
        <v>84</v>
      </c>
      <c r="AV327">
        <v>0</v>
      </c>
      <c r="AW327" t="s">
        <v>85</v>
      </c>
      <c r="AX327" t="s">
        <v>901</v>
      </c>
      <c r="AY327" t="s">
        <v>108</v>
      </c>
      <c r="BA327" t="s">
        <v>170</v>
      </c>
      <c r="BB327" t="s">
        <v>90</v>
      </c>
      <c r="BC327">
        <v>23474</v>
      </c>
      <c r="BD327">
        <v>20250914</v>
      </c>
      <c r="BE327">
        <v>14.494</v>
      </c>
      <c r="BG327" t="s">
        <v>900</v>
      </c>
      <c r="BH327">
        <v>20250911</v>
      </c>
      <c r="BL327" t="s">
        <v>886</v>
      </c>
    </row>
    <row r="328" spans="1:64" x14ac:dyDescent="0.2">
      <c r="A328">
        <v>8</v>
      </c>
      <c r="B328">
        <v>9</v>
      </c>
      <c r="C328">
        <v>2025</v>
      </c>
      <c r="D328">
        <v>386133</v>
      </c>
      <c r="E328">
        <v>8</v>
      </c>
      <c r="F328" t="s">
        <v>279</v>
      </c>
      <c r="G328" t="s">
        <v>66</v>
      </c>
      <c r="H328">
        <v>20550731399</v>
      </c>
      <c r="I328" t="s">
        <v>67</v>
      </c>
      <c r="J328" t="s">
        <v>68</v>
      </c>
      <c r="K328" t="s">
        <v>69</v>
      </c>
      <c r="L328" t="s">
        <v>69</v>
      </c>
      <c r="M328" t="s">
        <v>70</v>
      </c>
      <c r="N328" t="s">
        <v>71</v>
      </c>
      <c r="O328" t="s">
        <v>71</v>
      </c>
      <c r="P328" t="s">
        <v>280</v>
      </c>
      <c r="Q328" t="s">
        <v>73</v>
      </c>
      <c r="R328" t="s">
        <v>956</v>
      </c>
      <c r="S328" t="s">
        <v>98</v>
      </c>
      <c r="T328" t="s">
        <v>386</v>
      </c>
      <c r="U328">
        <v>8412290000</v>
      </c>
      <c r="V328" t="s">
        <v>164</v>
      </c>
      <c r="W328" t="s">
        <v>955</v>
      </c>
      <c r="X328" t="s">
        <v>954</v>
      </c>
      <c r="Y328">
        <v>11186665</v>
      </c>
      <c r="Z328" t="s">
        <v>221</v>
      </c>
      <c r="AB328" t="s">
        <v>221</v>
      </c>
      <c r="AC328" t="s">
        <v>953</v>
      </c>
      <c r="AD328" t="s">
        <v>1415</v>
      </c>
      <c r="AE328" t="s">
        <v>221</v>
      </c>
      <c r="AG328">
        <v>293.24</v>
      </c>
      <c r="AH328">
        <v>1.38</v>
      </c>
      <c r="AI328">
        <v>2.93</v>
      </c>
      <c r="AJ328">
        <v>297.55</v>
      </c>
      <c r="AK328">
        <v>0</v>
      </c>
      <c r="AL328">
        <v>47.61</v>
      </c>
      <c r="AM328">
        <v>5.95</v>
      </c>
      <c r="AN328">
        <v>10.029999999999999</v>
      </c>
      <c r="AO328">
        <v>10.57</v>
      </c>
      <c r="AP328">
        <v>1</v>
      </c>
      <c r="AQ328" t="s">
        <v>82</v>
      </c>
      <c r="AR328">
        <v>297.548</v>
      </c>
      <c r="AS328">
        <v>1</v>
      </c>
      <c r="AT328" t="s">
        <v>107</v>
      </c>
      <c r="AU328" t="s">
        <v>84</v>
      </c>
      <c r="AV328">
        <v>0</v>
      </c>
      <c r="AW328" t="s">
        <v>85</v>
      </c>
      <c r="AX328" t="s">
        <v>390</v>
      </c>
      <c r="AY328" t="s">
        <v>108</v>
      </c>
      <c r="AZ328" t="s">
        <v>291</v>
      </c>
      <c r="BA328" t="s">
        <v>323</v>
      </c>
      <c r="BB328" t="s">
        <v>90</v>
      </c>
      <c r="BC328">
        <v>2251</v>
      </c>
      <c r="BD328">
        <v>20250912</v>
      </c>
      <c r="BE328">
        <v>293.24</v>
      </c>
      <c r="BF328" t="s">
        <v>908</v>
      </c>
      <c r="BG328" t="s">
        <v>907</v>
      </c>
      <c r="BH328">
        <v>20250810</v>
      </c>
      <c r="BI328" t="s">
        <v>906</v>
      </c>
      <c r="BK328" t="s">
        <v>91</v>
      </c>
      <c r="BL328" t="s">
        <v>886</v>
      </c>
    </row>
    <row r="329" spans="1:64" x14ac:dyDescent="0.2">
      <c r="A329">
        <v>8</v>
      </c>
      <c r="B329">
        <v>9</v>
      </c>
      <c r="C329">
        <v>2025</v>
      </c>
      <c r="D329">
        <v>386133</v>
      </c>
      <c r="E329">
        <v>4</v>
      </c>
      <c r="F329" t="s">
        <v>279</v>
      </c>
      <c r="G329" t="s">
        <v>66</v>
      </c>
      <c r="H329">
        <v>20550731399</v>
      </c>
      <c r="I329" t="s">
        <v>67</v>
      </c>
      <c r="J329" t="s">
        <v>68</v>
      </c>
      <c r="K329" t="s">
        <v>69</v>
      </c>
      <c r="L329" t="s">
        <v>69</v>
      </c>
      <c r="M329" t="s">
        <v>70</v>
      </c>
      <c r="N329" t="s">
        <v>71</v>
      </c>
      <c r="O329" t="s">
        <v>71</v>
      </c>
      <c r="P329" t="s">
        <v>280</v>
      </c>
      <c r="Q329" t="s">
        <v>73</v>
      </c>
      <c r="R329" t="s">
        <v>74</v>
      </c>
      <c r="S329" t="s">
        <v>98</v>
      </c>
      <c r="T329" t="s">
        <v>386</v>
      </c>
      <c r="U329">
        <v>8412290000</v>
      </c>
      <c r="V329" t="s">
        <v>164</v>
      </c>
      <c r="W329" t="s">
        <v>930</v>
      </c>
      <c r="X329" t="s">
        <v>870</v>
      </c>
      <c r="Y329" t="s">
        <v>929</v>
      </c>
      <c r="Z329" t="s">
        <v>928</v>
      </c>
      <c r="AB329" t="s">
        <v>79</v>
      </c>
      <c r="AC329" t="s">
        <v>910</v>
      </c>
      <c r="AD329" t="s">
        <v>929</v>
      </c>
      <c r="AE329" t="s">
        <v>928</v>
      </c>
      <c r="AG329">
        <v>266.04000000000002</v>
      </c>
      <c r="AH329">
        <v>1.25</v>
      </c>
      <c r="AI329">
        <v>2.66</v>
      </c>
      <c r="AJ329">
        <v>269.95</v>
      </c>
      <c r="AK329">
        <v>0</v>
      </c>
      <c r="AL329">
        <v>43.19</v>
      </c>
      <c r="AM329">
        <v>5.4</v>
      </c>
      <c r="AN329">
        <v>9.1</v>
      </c>
      <c r="AO329">
        <v>9.59</v>
      </c>
      <c r="AP329">
        <v>9</v>
      </c>
      <c r="AQ329" t="s">
        <v>82</v>
      </c>
      <c r="AR329">
        <v>29.994</v>
      </c>
      <c r="AS329">
        <v>9</v>
      </c>
      <c r="AT329" t="s">
        <v>107</v>
      </c>
      <c r="AU329" t="s">
        <v>84</v>
      </c>
      <c r="AV329">
        <v>0</v>
      </c>
      <c r="AW329" t="s">
        <v>85</v>
      </c>
      <c r="AX329" t="s">
        <v>390</v>
      </c>
      <c r="AY329" t="s">
        <v>108</v>
      </c>
      <c r="AZ329" t="s">
        <v>291</v>
      </c>
      <c r="BA329" t="s">
        <v>323</v>
      </c>
      <c r="BB329" t="s">
        <v>90</v>
      </c>
      <c r="BC329">
        <v>2251</v>
      </c>
      <c r="BD329">
        <v>20250912</v>
      </c>
      <c r="BE329">
        <v>29.56</v>
      </c>
      <c r="BF329" t="s">
        <v>908</v>
      </c>
      <c r="BG329" t="s">
        <v>907</v>
      </c>
      <c r="BH329">
        <v>20250810</v>
      </c>
      <c r="BI329" t="s">
        <v>906</v>
      </c>
      <c r="BK329" t="s">
        <v>91</v>
      </c>
      <c r="BL329" t="s">
        <v>886</v>
      </c>
    </row>
    <row r="330" spans="1:64" x14ac:dyDescent="0.2">
      <c r="A330">
        <v>12</v>
      </c>
      <c r="B330">
        <v>9</v>
      </c>
      <c r="C330">
        <v>2025</v>
      </c>
      <c r="D330">
        <v>148616</v>
      </c>
      <c r="E330">
        <v>9</v>
      </c>
      <c r="F330" t="s">
        <v>65</v>
      </c>
      <c r="G330" t="s">
        <v>66</v>
      </c>
      <c r="H330">
        <v>20550731399</v>
      </c>
      <c r="I330" t="s">
        <v>67</v>
      </c>
      <c r="J330" t="s">
        <v>68</v>
      </c>
      <c r="K330" t="s">
        <v>69</v>
      </c>
      <c r="L330" t="s">
        <v>69</v>
      </c>
      <c r="M330" t="s">
        <v>70</v>
      </c>
      <c r="N330" t="s">
        <v>71</v>
      </c>
      <c r="O330" t="s">
        <v>71</v>
      </c>
      <c r="P330" t="s">
        <v>72</v>
      </c>
      <c r="Q330" t="s">
        <v>73</v>
      </c>
      <c r="R330" t="s">
        <v>74</v>
      </c>
      <c r="S330" t="s">
        <v>74</v>
      </c>
      <c r="T330" t="s">
        <v>163</v>
      </c>
      <c r="U330">
        <v>8412290000</v>
      </c>
      <c r="V330" t="s">
        <v>164</v>
      </c>
      <c r="W330" t="s">
        <v>952</v>
      </c>
      <c r="X330" t="s">
        <v>951</v>
      </c>
      <c r="Y330" t="s">
        <v>870</v>
      </c>
      <c r="Z330" t="s">
        <v>950</v>
      </c>
      <c r="AB330" t="s">
        <v>79</v>
      </c>
      <c r="AC330" t="s">
        <v>792</v>
      </c>
      <c r="AD330" t="s">
        <v>1414</v>
      </c>
      <c r="AE330" t="s">
        <v>950</v>
      </c>
      <c r="AG330">
        <v>310.58999999999997</v>
      </c>
      <c r="AH330">
        <v>7.47</v>
      </c>
      <c r="AI330">
        <v>3.11</v>
      </c>
      <c r="AJ330">
        <v>321.16000000000003</v>
      </c>
      <c r="AK330">
        <v>0</v>
      </c>
      <c r="AL330">
        <v>51.39</v>
      </c>
      <c r="AM330">
        <v>6.42</v>
      </c>
      <c r="AN330">
        <v>5.66</v>
      </c>
      <c r="AO330">
        <v>5.98</v>
      </c>
      <c r="AP330">
        <v>20</v>
      </c>
      <c r="AQ330" t="s">
        <v>82</v>
      </c>
      <c r="AR330">
        <v>16.058</v>
      </c>
      <c r="AS330">
        <v>20</v>
      </c>
      <c r="AT330" t="s">
        <v>107</v>
      </c>
      <c r="AU330" t="s">
        <v>84</v>
      </c>
      <c r="AV330">
        <v>0</v>
      </c>
      <c r="AW330" t="s">
        <v>85</v>
      </c>
      <c r="AX330" t="s">
        <v>901</v>
      </c>
      <c r="AY330" t="s">
        <v>108</v>
      </c>
      <c r="BA330" t="s">
        <v>170</v>
      </c>
      <c r="BB330" t="s">
        <v>90</v>
      </c>
      <c r="BC330">
        <v>23474</v>
      </c>
      <c r="BD330">
        <v>20250914</v>
      </c>
      <c r="BE330">
        <v>15.53</v>
      </c>
      <c r="BG330" t="s">
        <v>900</v>
      </c>
      <c r="BH330">
        <v>20250911</v>
      </c>
      <c r="BL330" t="s">
        <v>886</v>
      </c>
    </row>
    <row r="331" spans="1:64" x14ac:dyDescent="0.2">
      <c r="A331">
        <v>8</v>
      </c>
      <c r="B331">
        <v>9</v>
      </c>
      <c r="C331">
        <v>2025</v>
      </c>
      <c r="D331">
        <v>386133</v>
      </c>
      <c r="E331">
        <v>6</v>
      </c>
      <c r="F331" t="s">
        <v>279</v>
      </c>
      <c r="G331" t="s">
        <v>66</v>
      </c>
      <c r="H331">
        <v>20550731399</v>
      </c>
      <c r="I331" t="s">
        <v>67</v>
      </c>
      <c r="J331" t="s">
        <v>68</v>
      </c>
      <c r="K331" t="s">
        <v>69</v>
      </c>
      <c r="L331" t="s">
        <v>69</v>
      </c>
      <c r="M331" t="s">
        <v>70</v>
      </c>
      <c r="N331" t="s">
        <v>71</v>
      </c>
      <c r="O331" t="s">
        <v>71</v>
      </c>
      <c r="P331" t="s">
        <v>280</v>
      </c>
      <c r="Q331" t="s">
        <v>73</v>
      </c>
      <c r="R331" t="s">
        <v>98</v>
      </c>
      <c r="S331" t="s">
        <v>98</v>
      </c>
      <c r="T331" t="s">
        <v>386</v>
      </c>
      <c r="U331">
        <v>8412290000</v>
      </c>
      <c r="V331" t="s">
        <v>164</v>
      </c>
      <c r="W331" t="s">
        <v>949</v>
      </c>
      <c r="X331" t="s">
        <v>948</v>
      </c>
      <c r="Y331" t="s">
        <v>783</v>
      </c>
      <c r="Z331" t="s">
        <v>221</v>
      </c>
      <c r="AB331" t="s">
        <v>221</v>
      </c>
      <c r="AC331" t="s">
        <v>763</v>
      </c>
      <c r="AD331" t="s">
        <v>784</v>
      </c>
      <c r="AE331" t="s">
        <v>221</v>
      </c>
      <c r="AG331">
        <v>13157.95</v>
      </c>
      <c r="AH331">
        <v>61.73</v>
      </c>
      <c r="AI331">
        <v>131.58000000000001</v>
      </c>
      <c r="AJ331">
        <v>13351.26</v>
      </c>
      <c r="AK331">
        <v>0</v>
      </c>
      <c r="AL331">
        <v>2136.1999999999998</v>
      </c>
      <c r="AM331">
        <v>267.02999999999997</v>
      </c>
      <c r="AN331">
        <v>450.18</v>
      </c>
      <c r="AO331">
        <v>474.38</v>
      </c>
      <c r="AP331">
        <v>4</v>
      </c>
      <c r="AQ331" t="s">
        <v>82</v>
      </c>
      <c r="AR331">
        <v>3337.8139999999999</v>
      </c>
      <c r="AS331">
        <v>4</v>
      </c>
      <c r="AT331" t="s">
        <v>107</v>
      </c>
      <c r="AU331" t="s">
        <v>84</v>
      </c>
      <c r="AV331">
        <v>0</v>
      </c>
      <c r="AW331" t="s">
        <v>85</v>
      </c>
      <c r="AX331" t="s">
        <v>390</v>
      </c>
      <c r="AY331" t="s">
        <v>108</v>
      </c>
      <c r="AZ331" t="s">
        <v>291</v>
      </c>
      <c r="BA331" t="s">
        <v>323</v>
      </c>
      <c r="BB331" t="s">
        <v>90</v>
      </c>
      <c r="BC331">
        <v>2251</v>
      </c>
      <c r="BD331">
        <v>20250912</v>
      </c>
      <c r="BE331">
        <v>3289.4879999999998</v>
      </c>
      <c r="BF331" t="s">
        <v>908</v>
      </c>
      <c r="BG331" t="s">
        <v>907</v>
      </c>
      <c r="BH331">
        <v>20250810</v>
      </c>
      <c r="BI331" t="s">
        <v>906</v>
      </c>
      <c r="BK331" t="s">
        <v>91</v>
      </c>
      <c r="BL331" t="s">
        <v>886</v>
      </c>
    </row>
    <row r="332" spans="1:64" x14ac:dyDescent="0.2">
      <c r="A332">
        <v>8</v>
      </c>
      <c r="B332">
        <v>9</v>
      </c>
      <c r="C332">
        <v>2025</v>
      </c>
      <c r="D332">
        <v>386133</v>
      </c>
      <c r="E332">
        <v>11</v>
      </c>
      <c r="F332" t="s">
        <v>279</v>
      </c>
      <c r="G332" t="s">
        <v>66</v>
      </c>
      <c r="H332">
        <v>20550731399</v>
      </c>
      <c r="I332" t="s">
        <v>67</v>
      </c>
      <c r="J332" t="s">
        <v>68</v>
      </c>
      <c r="K332" t="s">
        <v>69</v>
      </c>
      <c r="L332" t="s">
        <v>69</v>
      </c>
      <c r="M332" t="s">
        <v>70</v>
      </c>
      <c r="N332" t="s">
        <v>71</v>
      </c>
      <c r="O332" t="s">
        <v>71</v>
      </c>
      <c r="P332" t="s">
        <v>280</v>
      </c>
      <c r="Q332" t="s">
        <v>73</v>
      </c>
      <c r="R332" t="s">
        <v>98</v>
      </c>
      <c r="S332" t="s">
        <v>98</v>
      </c>
      <c r="T332" t="s">
        <v>386</v>
      </c>
      <c r="U332">
        <v>8413919000</v>
      </c>
      <c r="V332" t="s">
        <v>229</v>
      </c>
      <c r="W332" t="s">
        <v>947</v>
      </c>
      <c r="X332" t="s">
        <v>946</v>
      </c>
      <c r="Y332" t="s">
        <v>945</v>
      </c>
      <c r="Z332" t="s">
        <v>206</v>
      </c>
      <c r="AB332" t="s">
        <v>206</v>
      </c>
      <c r="AC332" t="s">
        <v>916</v>
      </c>
      <c r="AD332" t="s">
        <v>944</v>
      </c>
      <c r="AE332" t="s">
        <v>206</v>
      </c>
      <c r="AG332">
        <v>120.9</v>
      </c>
      <c r="AH332">
        <v>0.56999999999999995</v>
      </c>
      <c r="AI332">
        <v>1.21</v>
      </c>
      <c r="AJ332">
        <v>122.68</v>
      </c>
      <c r="AK332">
        <v>0</v>
      </c>
      <c r="AL332">
        <v>19.63</v>
      </c>
      <c r="AM332">
        <v>2.4500000000000002</v>
      </c>
      <c r="AN332">
        <v>4.1399999999999997</v>
      </c>
      <c r="AO332">
        <v>4.3600000000000003</v>
      </c>
      <c r="AP332">
        <v>2</v>
      </c>
      <c r="AQ332" t="s">
        <v>82</v>
      </c>
      <c r="AR332">
        <v>61.34</v>
      </c>
      <c r="AS332">
        <v>2</v>
      </c>
      <c r="AT332" t="s">
        <v>107</v>
      </c>
      <c r="AU332" t="s">
        <v>84</v>
      </c>
      <c r="AV332">
        <v>0</v>
      </c>
      <c r="AW332" t="s">
        <v>85</v>
      </c>
      <c r="AX332" t="s">
        <v>390</v>
      </c>
      <c r="AY332" t="s">
        <v>108</v>
      </c>
      <c r="AZ332" t="s">
        <v>291</v>
      </c>
      <c r="BA332" t="s">
        <v>323</v>
      </c>
      <c r="BB332" t="s">
        <v>90</v>
      </c>
      <c r="BC332">
        <v>2251</v>
      </c>
      <c r="BD332">
        <v>20250912</v>
      </c>
      <c r="BE332">
        <v>60.45</v>
      </c>
      <c r="BF332" t="s">
        <v>908</v>
      </c>
      <c r="BG332" t="s">
        <v>907</v>
      </c>
      <c r="BH332">
        <v>20250810</v>
      </c>
      <c r="BI332" t="s">
        <v>906</v>
      </c>
      <c r="BK332" t="s">
        <v>91</v>
      </c>
      <c r="BL332" t="s">
        <v>886</v>
      </c>
    </row>
    <row r="333" spans="1:64" x14ac:dyDescent="0.2">
      <c r="A333">
        <v>12</v>
      </c>
      <c r="B333">
        <v>9</v>
      </c>
      <c r="C333">
        <v>2025</v>
      </c>
      <c r="D333">
        <v>148616</v>
      </c>
      <c r="E333">
        <v>4</v>
      </c>
      <c r="F333" t="s">
        <v>65</v>
      </c>
      <c r="G333" t="s">
        <v>66</v>
      </c>
      <c r="H333">
        <v>20550731399</v>
      </c>
      <c r="I333" t="s">
        <v>67</v>
      </c>
      <c r="J333" t="s">
        <v>68</v>
      </c>
      <c r="K333" t="s">
        <v>69</v>
      </c>
      <c r="L333" t="s">
        <v>69</v>
      </c>
      <c r="M333" t="s">
        <v>70</v>
      </c>
      <c r="N333" t="s">
        <v>71</v>
      </c>
      <c r="O333" t="s">
        <v>71</v>
      </c>
      <c r="P333" t="s">
        <v>72</v>
      </c>
      <c r="Q333" t="s">
        <v>73</v>
      </c>
      <c r="R333" t="s">
        <v>74</v>
      </c>
      <c r="S333" t="s">
        <v>74</v>
      </c>
      <c r="T333" t="s">
        <v>163</v>
      </c>
      <c r="U333">
        <v>8412900000</v>
      </c>
      <c r="V333" t="s">
        <v>129</v>
      </c>
      <c r="W333" t="s">
        <v>943</v>
      </c>
      <c r="X333" t="s">
        <v>942</v>
      </c>
      <c r="Z333" t="s">
        <v>941</v>
      </c>
      <c r="AB333" t="s">
        <v>194</v>
      </c>
      <c r="AC333" t="s">
        <v>792</v>
      </c>
      <c r="AD333" t="s">
        <v>1396</v>
      </c>
      <c r="AE333" t="s">
        <v>941</v>
      </c>
      <c r="AG333">
        <v>165.65</v>
      </c>
      <c r="AH333">
        <v>3.98</v>
      </c>
      <c r="AI333">
        <v>1.66</v>
      </c>
      <c r="AJ333">
        <v>171.29</v>
      </c>
      <c r="AK333">
        <v>0</v>
      </c>
      <c r="AL333">
        <v>27.4</v>
      </c>
      <c r="AM333">
        <v>3.43</v>
      </c>
      <c r="AN333">
        <v>3.02</v>
      </c>
      <c r="AO333">
        <v>3.19</v>
      </c>
      <c r="AP333">
        <v>4</v>
      </c>
      <c r="AQ333" t="s">
        <v>82</v>
      </c>
      <c r="AR333">
        <v>42.822000000000003</v>
      </c>
      <c r="AS333">
        <v>4</v>
      </c>
      <c r="AT333" t="s">
        <v>107</v>
      </c>
      <c r="AU333" t="s">
        <v>84</v>
      </c>
      <c r="AV333">
        <v>0</v>
      </c>
      <c r="AW333" t="s">
        <v>85</v>
      </c>
      <c r="AX333" t="s">
        <v>901</v>
      </c>
      <c r="AY333" t="s">
        <v>108</v>
      </c>
      <c r="BA333" t="s">
        <v>170</v>
      </c>
      <c r="BB333" t="s">
        <v>90</v>
      </c>
      <c r="BC333">
        <v>23474</v>
      </c>
      <c r="BD333">
        <v>20250914</v>
      </c>
      <c r="BE333">
        <v>41.411999999999999</v>
      </c>
      <c r="BG333" t="s">
        <v>900</v>
      </c>
      <c r="BH333">
        <v>20250911</v>
      </c>
      <c r="BL333" t="s">
        <v>886</v>
      </c>
    </row>
    <row r="334" spans="1:64" x14ac:dyDescent="0.2">
      <c r="A334">
        <v>12</v>
      </c>
      <c r="B334">
        <v>9</v>
      </c>
      <c r="C334">
        <v>2025</v>
      </c>
      <c r="D334">
        <v>148616</v>
      </c>
      <c r="E334">
        <v>1</v>
      </c>
      <c r="F334" t="s">
        <v>65</v>
      </c>
      <c r="G334" t="s">
        <v>66</v>
      </c>
      <c r="H334">
        <v>20550731399</v>
      </c>
      <c r="I334" t="s">
        <v>67</v>
      </c>
      <c r="J334" t="s">
        <v>68</v>
      </c>
      <c r="K334" t="s">
        <v>69</v>
      </c>
      <c r="L334" t="s">
        <v>69</v>
      </c>
      <c r="M334" t="s">
        <v>70</v>
      </c>
      <c r="N334" t="s">
        <v>71</v>
      </c>
      <c r="O334" t="s">
        <v>71</v>
      </c>
      <c r="P334" t="s">
        <v>72</v>
      </c>
      <c r="Q334" t="s">
        <v>73</v>
      </c>
      <c r="R334" t="s">
        <v>74</v>
      </c>
      <c r="S334" t="s">
        <v>74</v>
      </c>
      <c r="T334" t="s">
        <v>163</v>
      </c>
      <c r="U334">
        <v>8413190000</v>
      </c>
      <c r="V334" t="s">
        <v>100</v>
      </c>
      <c r="W334" t="s">
        <v>938</v>
      </c>
      <c r="X334" t="s">
        <v>940</v>
      </c>
      <c r="Z334" t="s">
        <v>939</v>
      </c>
      <c r="AB334" t="s">
        <v>936</v>
      </c>
      <c r="AC334" t="s">
        <v>792</v>
      </c>
      <c r="AD334" t="s">
        <v>1396</v>
      </c>
      <c r="AE334" t="s">
        <v>939</v>
      </c>
      <c r="AG334">
        <v>947.29</v>
      </c>
      <c r="AH334">
        <v>22.77</v>
      </c>
      <c r="AI334">
        <v>9.4700000000000006</v>
      </c>
      <c r="AJ334">
        <v>979.54</v>
      </c>
      <c r="AK334">
        <v>0</v>
      </c>
      <c r="AL334">
        <v>156.72999999999999</v>
      </c>
      <c r="AM334">
        <v>19.59</v>
      </c>
      <c r="AN334">
        <v>17.27</v>
      </c>
      <c r="AO334">
        <v>18.23</v>
      </c>
      <c r="AP334">
        <v>5</v>
      </c>
      <c r="AQ334" t="s">
        <v>82</v>
      </c>
      <c r="AR334">
        <v>195.90700000000001</v>
      </c>
      <c r="AS334">
        <v>5</v>
      </c>
      <c r="AT334" t="s">
        <v>107</v>
      </c>
      <c r="AU334" t="s">
        <v>84</v>
      </c>
      <c r="AV334">
        <v>1</v>
      </c>
      <c r="AW334" t="s">
        <v>85</v>
      </c>
      <c r="AX334" t="s">
        <v>901</v>
      </c>
      <c r="AY334" t="s">
        <v>108</v>
      </c>
      <c r="BA334" t="s">
        <v>170</v>
      </c>
      <c r="BB334" t="s">
        <v>90</v>
      </c>
      <c r="BC334">
        <v>23474</v>
      </c>
      <c r="BD334">
        <v>20250914</v>
      </c>
      <c r="BE334">
        <v>189.458</v>
      </c>
      <c r="BG334" t="s">
        <v>900</v>
      </c>
      <c r="BH334">
        <v>20250911</v>
      </c>
      <c r="BL334" t="s">
        <v>886</v>
      </c>
    </row>
    <row r="335" spans="1:64" x14ac:dyDescent="0.2">
      <c r="A335">
        <v>12</v>
      </c>
      <c r="B335">
        <v>9</v>
      </c>
      <c r="C335">
        <v>2025</v>
      </c>
      <c r="D335">
        <v>148616</v>
      </c>
      <c r="E335">
        <v>3</v>
      </c>
      <c r="F335" t="s">
        <v>65</v>
      </c>
      <c r="G335" t="s">
        <v>66</v>
      </c>
      <c r="H335">
        <v>20550731399</v>
      </c>
      <c r="I335" t="s">
        <v>67</v>
      </c>
      <c r="J335" t="s">
        <v>68</v>
      </c>
      <c r="K335" t="s">
        <v>69</v>
      </c>
      <c r="L335" t="s">
        <v>69</v>
      </c>
      <c r="M335" t="s">
        <v>70</v>
      </c>
      <c r="N335" t="s">
        <v>71</v>
      </c>
      <c r="O335" t="s">
        <v>71</v>
      </c>
      <c r="P335" t="s">
        <v>72</v>
      </c>
      <c r="Q335" t="s">
        <v>73</v>
      </c>
      <c r="R335" t="s">
        <v>74</v>
      </c>
      <c r="S335" t="s">
        <v>74</v>
      </c>
      <c r="T335" t="s">
        <v>163</v>
      </c>
      <c r="U335">
        <v>8413190000</v>
      </c>
      <c r="V335" t="s">
        <v>100</v>
      </c>
      <c r="W335" t="s">
        <v>938</v>
      </c>
      <c r="X335" t="s">
        <v>937</v>
      </c>
      <c r="Z335" t="s">
        <v>935</v>
      </c>
      <c r="AB335" t="s">
        <v>936</v>
      </c>
      <c r="AC335" t="s">
        <v>792</v>
      </c>
      <c r="AD335" t="s">
        <v>1396</v>
      </c>
      <c r="AE335" t="s">
        <v>935</v>
      </c>
      <c r="AG335">
        <v>568.37</v>
      </c>
      <c r="AH335">
        <v>13.66</v>
      </c>
      <c r="AI335">
        <v>5.68</v>
      </c>
      <c r="AJ335">
        <v>587.72</v>
      </c>
      <c r="AK335">
        <v>0</v>
      </c>
      <c r="AL335">
        <v>94.04</v>
      </c>
      <c r="AM335">
        <v>11.75</v>
      </c>
      <c r="AN335">
        <v>10.37</v>
      </c>
      <c r="AO335">
        <v>10.94</v>
      </c>
      <c r="AP335">
        <v>3</v>
      </c>
      <c r="AQ335" t="s">
        <v>82</v>
      </c>
      <c r="AR335">
        <v>195.90600000000001</v>
      </c>
      <c r="AS335">
        <v>3</v>
      </c>
      <c r="AT335" t="s">
        <v>107</v>
      </c>
      <c r="AU335" t="s">
        <v>84</v>
      </c>
      <c r="AV335">
        <v>0</v>
      </c>
      <c r="AW335" t="s">
        <v>85</v>
      </c>
      <c r="AX335" t="s">
        <v>901</v>
      </c>
      <c r="AY335" t="s">
        <v>108</v>
      </c>
      <c r="BA335" t="s">
        <v>170</v>
      </c>
      <c r="BB335" t="s">
        <v>90</v>
      </c>
      <c r="BC335">
        <v>23474</v>
      </c>
      <c r="BD335">
        <v>20250914</v>
      </c>
      <c r="BE335">
        <v>189.45699999999999</v>
      </c>
      <c r="BG335" t="s">
        <v>900</v>
      </c>
      <c r="BH335">
        <v>20250911</v>
      </c>
      <c r="BL335" t="s">
        <v>886</v>
      </c>
    </row>
    <row r="336" spans="1:64" x14ac:dyDescent="0.2">
      <c r="A336">
        <v>8</v>
      </c>
      <c r="B336">
        <v>9</v>
      </c>
      <c r="C336">
        <v>2025</v>
      </c>
      <c r="D336">
        <v>386133</v>
      </c>
      <c r="E336">
        <v>12</v>
      </c>
      <c r="F336" t="s">
        <v>279</v>
      </c>
      <c r="G336" t="s">
        <v>66</v>
      </c>
      <c r="H336">
        <v>20550731399</v>
      </c>
      <c r="I336" t="s">
        <v>67</v>
      </c>
      <c r="J336" t="s">
        <v>68</v>
      </c>
      <c r="K336" t="s">
        <v>69</v>
      </c>
      <c r="L336" t="s">
        <v>69</v>
      </c>
      <c r="M336" t="s">
        <v>70</v>
      </c>
      <c r="N336" t="s">
        <v>71</v>
      </c>
      <c r="O336" t="s">
        <v>71</v>
      </c>
      <c r="P336" t="s">
        <v>280</v>
      </c>
      <c r="Q336" t="s">
        <v>73</v>
      </c>
      <c r="R336" t="s">
        <v>98</v>
      </c>
      <c r="S336" t="s">
        <v>98</v>
      </c>
      <c r="T336" t="s">
        <v>386</v>
      </c>
      <c r="U336">
        <v>8481804000</v>
      </c>
      <c r="V336" t="s">
        <v>118</v>
      </c>
      <c r="W336" t="s">
        <v>934</v>
      </c>
      <c r="X336" t="s">
        <v>933</v>
      </c>
      <c r="Y336" t="s">
        <v>932</v>
      </c>
      <c r="Z336" t="s">
        <v>931</v>
      </c>
      <c r="AB336" t="s">
        <v>931</v>
      </c>
      <c r="AC336" t="s">
        <v>916</v>
      </c>
      <c r="AD336" s="2" t="s">
        <v>1416</v>
      </c>
      <c r="AE336" t="s">
        <v>931</v>
      </c>
      <c r="AG336">
        <v>13.41</v>
      </c>
      <c r="AH336">
        <v>0.06</v>
      </c>
      <c r="AI336">
        <v>0.13</v>
      </c>
      <c r="AJ336">
        <v>13.61</v>
      </c>
      <c r="AK336">
        <v>0</v>
      </c>
      <c r="AL336">
        <v>2.1800000000000002</v>
      </c>
      <c r="AM336">
        <v>0.27</v>
      </c>
      <c r="AN336">
        <v>0.46</v>
      </c>
      <c r="AO336">
        <v>0.48</v>
      </c>
      <c r="AP336">
        <v>1</v>
      </c>
      <c r="AQ336" t="s">
        <v>82</v>
      </c>
      <c r="AR336">
        <v>13.606999999999999</v>
      </c>
      <c r="AS336">
        <v>1</v>
      </c>
      <c r="AT336" t="s">
        <v>107</v>
      </c>
      <c r="AU336" t="s">
        <v>84</v>
      </c>
      <c r="AV336">
        <v>0</v>
      </c>
      <c r="AW336" t="s">
        <v>85</v>
      </c>
      <c r="AX336" t="s">
        <v>390</v>
      </c>
      <c r="AY336" t="s">
        <v>108</v>
      </c>
      <c r="AZ336" t="s">
        <v>291</v>
      </c>
      <c r="BA336" t="s">
        <v>323</v>
      </c>
      <c r="BB336" t="s">
        <v>90</v>
      </c>
      <c r="BC336">
        <v>2251</v>
      </c>
      <c r="BD336">
        <v>20250912</v>
      </c>
      <c r="BE336">
        <v>13.41</v>
      </c>
      <c r="BF336" t="s">
        <v>908</v>
      </c>
      <c r="BG336" t="s">
        <v>907</v>
      </c>
      <c r="BH336">
        <v>20250810</v>
      </c>
      <c r="BI336" t="s">
        <v>906</v>
      </c>
      <c r="BK336" t="s">
        <v>91</v>
      </c>
      <c r="BL336" t="s">
        <v>886</v>
      </c>
    </row>
    <row r="337" spans="1:64" x14ac:dyDescent="0.2">
      <c r="A337">
        <v>8</v>
      </c>
      <c r="B337">
        <v>9</v>
      </c>
      <c r="C337">
        <v>2025</v>
      </c>
      <c r="D337">
        <v>386133</v>
      </c>
      <c r="E337">
        <v>3</v>
      </c>
      <c r="F337" t="s">
        <v>279</v>
      </c>
      <c r="G337" t="s">
        <v>66</v>
      </c>
      <c r="H337">
        <v>20550731399</v>
      </c>
      <c r="I337" t="s">
        <v>67</v>
      </c>
      <c r="J337" t="s">
        <v>68</v>
      </c>
      <c r="K337" t="s">
        <v>69</v>
      </c>
      <c r="L337" t="s">
        <v>69</v>
      </c>
      <c r="M337" t="s">
        <v>70</v>
      </c>
      <c r="N337" t="s">
        <v>71</v>
      </c>
      <c r="O337" t="s">
        <v>71</v>
      </c>
      <c r="P337" t="s">
        <v>280</v>
      </c>
      <c r="Q337" t="s">
        <v>73</v>
      </c>
      <c r="R337" t="s">
        <v>74</v>
      </c>
      <c r="S337" t="s">
        <v>98</v>
      </c>
      <c r="T337" t="s">
        <v>386</v>
      </c>
      <c r="U337">
        <v>8412290000</v>
      </c>
      <c r="V337" t="s">
        <v>164</v>
      </c>
      <c r="W337" t="s">
        <v>930</v>
      </c>
      <c r="X337" t="s">
        <v>870</v>
      </c>
      <c r="Y337" t="s">
        <v>929</v>
      </c>
      <c r="Z337" t="s">
        <v>928</v>
      </c>
      <c r="AB337" t="s">
        <v>79</v>
      </c>
      <c r="AC337" t="s">
        <v>910</v>
      </c>
      <c r="AD337" t="s">
        <v>929</v>
      </c>
      <c r="AE337" t="s">
        <v>928</v>
      </c>
      <c r="AG337">
        <v>29.56</v>
      </c>
      <c r="AH337">
        <v>0.14000000000000001</v>
      </c>
      <c r="AI337">
        <v>0.3</v>
      </c>
      <c r="AJ337">
        <v>30</v>
      </c>
      <c r="AK337">
        <v>0</v>
      </c>
      <c r="AL337">
        <v>4.8</v>
      </c>
      <c r="AM337">
        <v>0.6</v>
      </c>
      <c r="AN337">
        <v>1.01</v>
      </c>
      <c r="AO337">
        <v>1.07</v>
      </c>
      <c r="AP337">
        <v>1</v>
      </c>
      <c r="AQ337" t="s">
        <v>82</v>
      </c>
      <c r="AR337">
        <v>29.995000000000001</v>
      </c>
      <c r="AS337">
        <v>1</v>
      </c>
      <c r="AT337" t="s">
        <v>107</v>
      </c>
      <c r="AU337" t="s">
        <v>84</v>
      </c>
      <c r="AV337">
        <v>0</v>
      </c>
      <c r="AW337" t="s">
        <v>85</v>
      </c>
      <c r="AX337" t="s">
        <v>390</v>
      </c>
      <c r="AY337" t="s">
        <v>108</v>
      </c>
      <c r="AZ337" t="s">
        <v>291</v>
      </c>
      <c r="BA337" t="s">
        <v>323</v>
      </c>
      <c r="BB337" t="s">
        <v>90</v>
      </c>
      <c r="BC337">
        <v>2251</v>
      </c>
      <c r="BD337">
        <v>20250912</v>
      </c>
      <c r="BE337">
        <v>29.56</v>
      </c>
      <c r="BF337" t="s">
        <v>908</v>
      </c>
      <c r="BG337" t="s">
        <v>907</v>
      </c>
      <c r="BH337">
        <v>20250810</v>
      </c>
      <c r="BI337" t="s">
        <v>906</v>
      </c>
      <c r="BK337" t="s">
        <v>91</v>
      </c>
      <c r="BL337" t="s">
        <v>886</v>
      </c>
    </row>
    <row r="338" spans="1:64" x14ac:dyDescent="0.2">
      <c r="A338">
        <v>12</v>
      </c>
      <c r="B338">
        <v>9</v>
      </c>
      <c r="C338">
        <v>2025</v>
      </c>
      <c r="D338">
        <v>148616</v>
      </c>
      <c r="E338">
        <v>7</v>
      </c>
      <c r="F338" t="s">
        <v>65</v>
      </c>
      <c r="G338" t="s">
        <v>66</v>
      </c>
      <c r="H338">
        <v>20550731399</v>
      </c>
      <c r="I338" t="s">
        <v>67</v>
      </c>
      <c r="J338" t="s">
        <v>68</v>
      </c>
      <c r="K338" t="s">
        <v>69</v>
      </c>
      <c r="L338" t="s">
        <v>69</v>
      </c>
      <c r="M338" t="s">
        <v>70</v>
      </c>
      <c r="N338" t="s">
        <v>71</v>
      </c>
      <c r="O338" t="s">
        <v>71</v>
      </c>
      <c r="P338" t="s">
        <v>72</v>
      </c>
      <c r="Q338" t="s">
        <v>73</v>
      </c>
      <c r="R338" t="s">
        <v>74</v>
      </c>
      <c r="S338" t="s">
        <v>74</v>
      </c>
      <c r="T338" t="s">
        <v>163</v>
      </c>
      <c r="U338">
        <v>8413919000</v>
      </c>
      <c r="V338" t="s">
        <v>229</v>
      </c>
      <c r="W338" t="s">
        <v>927</v>
      </c>
      <c r="X338" t="s">
        <v>926</v>
      </c>
      <c r="Y338" t="s">
        <v>870</v>
      </c>
      <c r="Z338" t="s">
        <v>925</v>
      </c>
      <c r="AB338" t="s">
        <v>881</v>
      </c>
      <c r="AC338" t="s">
        <v>792</v>
      </c>
      <c r="AD338" t="s">
        <v>921</v>
      </c>
      <c r="AE338" t="s">
        <v>925</v>
      </c>
      <c r="AG338">
        <v>1008.37</v>
      </c>
      <c r="AH338">
        <v>24.24</v>
      </c>
      <c r="AI338">
        <v>10.08</v>
      </c>
      <c r="AJ338">
        <v>1042.7</v>
      </c>
      <c r="AK338">
        <v>0</v>
      </c>
      <c r="AL338">
        <v>166.83</v>
      </c>
      <c r="AM338">
        <v>20.85</v>
      </c>
      <c r="AN338">
        <v>18.39</v>
      </c>
      <c r="AO338">
        <v>19.41</v>
      </c>
      <c r="AP338">
        <v>1</v>
      </c>
      <c r="AQ338" t="s">
        <v>82</v>
      </c>
      <c r="AR338">
        <v>1042.6959999999999</v>
      </c>
      <c r="AS338">
        <v>1</v>
      </c>
      <c r="AT338" t="s">
        <v>107</v>
      </c>
      <c r="AU338" t="s">
        <v>84</v>
      </c>
      <c r="AV338">
        <v>0</v>
      </c>
      <c r="AW338" t="s">
        <v>85</v>
      </c>
      <c r="AX338" t="s">
        <v>901</v>
      </c>
      <c r="AY338" t="s">
        <v>108</v>
      </c>
      <c r="BA338" t="s">
        <v>170</v>
      </c>
      <c r="BB338" t="s">
        <v>90</v>
      </c>
      <c r="BC338">
        <v>23474</v>
      </c>
      <c r="BD338">
        <v>20250914</v>
      </c>
      <c r="BE338">
        <v>1008.37</v>
      </c>
      <c r="BG338" t="s">
        <v>900</v>
      </c>
      <c r="BH338">
        <v>20250911</v>
      </c>
      <c r="BL338" t="s">
        <v>886</v>
      </c>
    </row>
    <row r="339" spans="1:64" x14ac:dyDescent="0.2">
      <c r="A339">
        <v>12</v>
      </c>
      <c r="B339">
        <v>9</v>
      </c>
      <c r="C339">
        <v>2025</v>
      </c>
      <c r="D339">
        <v>148616</v>
      </c>
      <c r="E339">
        <v>11</v>
      </c>
      <c r="F339" t="s">
        <v>65</v>
      </c>
      <c r="G339" t="s">
        <v>66</v>
      </c>
      <c r="H339">
        <v>20550731399</v>
      </c>
      <c r="I339" t="s">
        <v>67</v>
      </c>
      <c r="J339" t="s">
        <v>68</v>
      </c>
      <c r="K339" t="s">
        <v>69</v>
      </c>
      <c r="L339" t="s">
        <v>69</v>
      </c>
      <c r="M339" t="s">
        <v>70</v>
      </c>
      <c r="N339" t="s">
        <v>71</v>
      </c>
      <c r="O339" t="s">
        <v>71</v>
      </c>
      <c r="P339" t="s">
        <v>72</v>
      </c>
      <c r="Q339" t="s">
        <v>73</v>
      </c>
      <c r="R339" t="s">
        <v>74</v>
      </c>
      <c r="S339" t="s">
        <v>74</v>
      </c>
      <c r="T339" t="s">
        <v>163</v>
      </c>
      <c r="U339">
        <v>8413919000</v>
      </c>
      <c r="V339" t="s">
        <v>229</v>
      </c>
      <c r="W339" t="s">
        <v>924</v>
      </c>
      <c r="X339" t="s">
        <v>923</v>
      </c>
      <c r="Y339" t="s">
        <v>870</v>
      </c>
      <c r="Z339" t="s">
        <v>920</v>
      </c>
      <c r="AB339" t="s">
        <v>922</v>
      </c>
      <c r="AC339" t="s">
        <v>792</v>
      </c>
      <c r="AD339" t="s">
        <v>921</v>
      </c>
      <c r="AE339" t="s">
        <v>920</v>
      </c>
      <c r="AG339">
        <v>3975.51</v>
      </c>
      <c r="AH339">
        <v>95.57</v>
      </c>
      <c r="AI339">
        <v>39.76</v>
      </c>
      <c r="AJ339">
        <v>4110.84</v>
      </c>
      <c r="AK339">
        <v>0</v>
      </c>
      <c r="AL339">
        <v>657.73</v>
      </c>
      <c r="AM339">
        <v>82.22</v>
      </c>
      <c r="AN339">
        <v>72.5</v>
      </c>
      <c r="AO339">
        <v>76.53</v>
      </c>
      <c r="AP339">
        <v>4</v>
      </c>
      <c r="AQ339" t="s">
        <v>82</v>
      </c>
      <c r="AR339">
        <v>1027.7090000000001</v>
      </c>
      <c r="AS339">
        <v>4</v>
      </c>
      <c r="AT339" t="s">
        <v>107</v>
      </c>
      <c r="AU339" t="s">
        <v>84</v>
      </c>
      <c r="AV339">
        <v>0</v>
      </c>
      <c r="AW339" t="s">
        <v>85</v>
      </c>
      <c r="AX339" t="s">
        <v>901</v>
      </c>
      <c r="AY339" t="s">
        <v>108</v>
      </c>
      <c r="BA339" t="s">
        <v>170</v>
      </c>
      <c r="BB339" t="s">
        <v>90</v>
      </c>
      <c r="BC339">
        <v>23474</v>
      </c>
      <c r="BD339">
        <v>20250914</v>
      </c>
      <c r="BE339">
        <v>993.87800000000004</v>
      </c>
      <c r="BG339" t="s">
        <v>900</v>
      </c>
      <c r="BH339">
        <v>20250911</v>
      </c>
      <c r="BL339" t="s">
        <v>886</v>
      </c>
    </row>
    <row r="340" spans="1:64" x14ac:dyDescent="0.2">
      <c r="A340">
        <v>8</v>
      </c>
      <c r="B340">
        <v>9</v>
      </c>
      <c r="C340">
        <v>2025</v>
      </c>
      <c r="D340">
        <v>386133</v>
      </c>
      <c r="E340">
        <v>10</v>
      </c>
      <c r="F340" t="s">
        <v>279</v>
      </c>
      <c r="G340" t="s">
        <v>66</v>
      </c>
      <c r="H340">
        <v>20550731399</v>
      </c>
      <c r="I340" t="s">
        <v>67</v>
      </c>
      <c r="J340" t="s">
        <v>68</v>
      </c>
      <c r="K340" t="s">
        <v>69</v>
      </c>
      <c r="L340" t="s">
        <v>69</v>
      </c>
      <c r="M340" t="s">
        <v>70</v>
      </c>
      <c r="N340" t="s">
        <v>71</v>
      </c>
      <c r="O340" t="s">
        <v>71</v>
      </c>
      <c r="P340" t="s">
        <v>280</v>
      </c>
      <c r="Q340" t="s">
        <v>73</v>
      </c>
      <c r="R340" t="s">
        <v>98</v>
      </c>
      <c r="S340" t="s">
        <v>98</v>
      </c>
      <c r="T340" t="s">
        <v>386</v>
      </c>
      <c r="U340">
        <v>8413919000</v>
      </c>
      <c r="V340" t="s">
        <v>229</v>
      </c>
      <c r="W340" t="s">
        <v>919</v>
      </c>
      <c r="X340" t="s">
        <v>918</v>
      </c>
      <c r="Y340" t="s">
        <v>917</v>
      </c>
      <c r="Z340" t="s">
        <v>914</v>
      </c>
      <c r="AB340" t="s">
        <v>914</v>
      </c>
      <c r="AC340" t="s">
        <v>916</v>
      </c>
      <c r="AD340" t="s">
        <v>915</v>
      </c>
      <c r="AE340" t="s">
        <v>914</v>
      </c>
      <c r="AG340">
        <v>88.31</v>
      </c>
      <c r="AH340">
        <v>0.42</v>
      </c>
      <c r="AI340">
        <v>0.88</v>
      </c>
      <c r="AJ340">
        <v>89.61</v>
      </c>
      <c r="AK340">
        <v>0</v>
      </c>
      <c r="AL340">
        <v>14.34</v>
      </c>
      <c r="AM340">
        <v>1.79</v>
      </c>
      <c r="AN340">
        <v>3.02</v>
      </c>
      <c r="AO340">
        <v>3.18</v>
      </c>
      <c r="AP340">
        <v>1</v>
      </c>
      <c r="AQ340" t="s">
        <v>82</v>
      </c>
      <c r="AR340">
        <v>89.608999999999995</v>
      </c>
      <c r="AS340">
        <v>1</v>
      </c>
      <c r="AT340" t="s">
        <v>107</v>
      </c>
      <c r="AU340" t="s">
        <v>84</v>
      </c>
      <c r="AV340">
        <v>0</v>
      </c>
      <c r="AW340" t="s">
        <v>85</v>
      </c>
      <c r="AX340" t="s">
        <v>390</v>
      </c>
      <c r="AY340" t="s">
        <v>108</v>
      </c>
      <c r="AZ340" t="s">
        <v>291</v>
      </c>
      <c r="BA340" t="s">
        <v>323</v>
      </c>
      <c r="BB340" t="s">
        <v>90</v>
      </c>
      <c r="BC340">
        <v>2251</v>
      </c>
      <c r="BD340">
        <v>20250912</v>
      </c>
      <c r="BE340">
        <v>88.31</v>
      </c>
      <c r="BF340" t="s">
        <v>908</v>
      </c>
      <c r="BG340" t="s">
        <v>907</v>
      </c>
      <c r="BH340">
        <v>20250810</v>
      </c>
      <c r="BI340" t="s">
        <v>906</v>
      </c>
      <c r="BK340" t="s">
        <v>91</v>
      </c>
      <c r="BL340" t="s">
        <v>886</v>
      </c>
    </row>
    <row r="341" spans="1:64" x14ac:dyDescent="0.2">
      <c r="A341">
        <v>8</v>
      </c>
      <c r="B341">
        <v>9</v>
      </c>
      <c r="C341">
        <v>2025</v>
      </c>
      <c r="D341">
        <v>386133</v>
      </c>
      <c r="E341">
        <v>9</v>
      </c>
      <c r="F341" t="s">
        <v>279</v>
      </c>
      <c r="G341" t="s">
        <v>66</v>
      </c>
      <c r="H341">
        <v>20550731399</v>
      </c>
      <c r="I341" t="s">
        <v>67</v>
      </c>
      <c r="J341" t="s">
        <v>68</v>
      </c>
      <c r="K341" t="s">
        <v>69</v>
      </c>
      <c r="L341" t="s">
        <v>69</v>
      </c>
      <c r="M341" t="s">
        <v>70</v>
      </c>
      <c r="N341" t="s">
        <v>71</v>
      </c>
      <c r="O341" t="s">
        <v>71</v>
      </c>
      <c r="P341" t="s">
        <v>280</v>
      </c>
      <c r="Q341" t="s">
        <v>73</v>
      </c>
      <c r="R341" t="s">
        <v>74</v>
      </c>
      <c r="S341" t="s">
        <v>98</v>
      </c>
      <c r="T341" t="s">
        <v>386</v>
      </c>
      <c r="U341">
        <v>8412290000</v>
      </c>
      <c r="V341" t="s">
        <v>164</v>
      </c>
      <c r="W341" t="s">
        <v>913</v>
      </c>
      <c r="X341" t="s">
        <v>912</v>
      </c>
      <c r="Y341" t="s">
        <v>911</v>
      </c>
      <c r="Z341" t="s">
        <v>221</v>
      </c>
      <c r="AB341" t="s">
        <v>221</v>
      </c>
      <c r="AC341" t="s">
        <v>910</v>
      </c>
      <c r="AD341" t="s">
        <v>909</v>
      </c>
      <c r="AE341" t="s">
        <v>221</v>
      </c>
      <c r="AG341">
        <v>376.85</v>
      </c>
      <c r="AH341">
        <v>1.77</v>
      </c>
      <c r="AI341">
        <v>3.77</v>
      </c>
      <c r="AJ341">
        <v>382.39</v>
      </c>
      <c r="AK341">
        <v>0</v>
      </c>
      <c r="AL341">
        <v>61.18</v>
      </c>
      <c r="AM341">
        <v>7.65</v>
      </c>
      <c r="AN341">
        <v>12.89</v>
      </c>
      <c r="AO341">
        <v>13.59</v>
      </c>
      <c r="AP341">
        <v>1</v>
      </c>
      <c r="AQ341" t="s">
        <v>82</v>
      </c>
      <c r="AR341">
        <v>382.39400000000001</v>
      </c>
      <c r="AS341">
        <v>1</v>
      </c>
      <c r="AT341" t="s">
        <v>107</v>
      </c>
      <c r="AU341" t="s">
        <v>84</v>
      </c>
      <c r="AV341">
        <v>0</v>
      </c>
      <c r="AW341" t="s">
        <v>85</v>
      </c>
      <c r="AX341" t="s">
        <v>390</v>
      </c>
      <c r="AY341" t="s">
        <v>108</v>
      </c>
      <c r="AZ341" t="s">
        <v>291</v>
      </c>
      <c r="BA341" t="s">
        <v>323</v>
      </c>
      <c r="BB341" t="s">
        <v>90</v>
      </c>
      <c r="BC341">
        <v>2251</v>
      </c>
      <c r="BD341">
        <v>20250912</v>
      </c>
      <c r="BE341">
        <v>376.85</v>
      </c>
      <c r="BF341" t="s">
        <v>908</v>
      </c>
      <c r="BG341" t="s">
        <v>907</v>
      </c>
      <c r="BH341">
        <v>20250810</v>
      </c>
      <c r="BI341" t="s">
        <v>906</v>
      </c>
      <c r="BK341" t="s">
        <v>91</v>
      </c>
      <c r="BL341" t="s">
        <v>886</v>
      </c>
    </row>
    <row r="342" spans="1:64" x14ac:dyDescent="0.2">
      <c r="A342">
        <v>12</v>
      </c>
      <c r="B342">
        <v>9</v>
      </c>
      <c r="C342">
        <v>2025</v>
      </c>
      <c r="D342">
        <v>148616</v>
      </c>
      <c r="E342">
        <v>13</v>
      </c>
      <c r="F342" t="s">
        <v>65</v>
      </c>
      <c r="G342" t="s">
        <v>66</v>
      </c>
      <c r="H342">
        <v>20550731399</v>
      </c>
      <c r="I342" t="s">
        <v>67</v>
      </c>
      <c r="J342" t="s">
        <v>68</v>
      </c>
      <c r="K342" t="s">
        <v>69</v>
      </c>
      <c r="L342" t="s">
        <v>69</v>
      </c>
      <c r="M342" t="s">
        <v>70</v>
      </c>
      <c r="N342" t="s">
        <v>71</v>
      </c>
      <c r="O342" t="s">
        <v>71</v>
      </c>
      <c r="P342" t="s">
        <v>72</v>
      </c>
      <c r="Q342" t="s">
        <v>73</v>
      </c>
      <c r="R342" t="s">
        <v>74</v>
      </c>
      <c r="S342" t="s">
        <v>74</v>
      </c>
      <c r="T342" t="s">
        <v>163</v>
      </c>
      <c r="U342">
        <v>8481804000</v>
      </c>
      <c r="V342" t="s">
        <v>118</v>
      </c>
      <c r="W342" t="s">
        <v>905</v>
      </c>
      <c r="X342" t="s">
        <v>904</v>
      </c>
      <c r="Z342" t="s">
        <v>902</v>
      </c>
      <c r="AB342" t="s">
        <v>338</v>
      </c>
      <c r="AC342" t="s">
        <v>288</v>
      </c>
      <c r="AD342" t="s">
        <v>903</v>
      </c>
      <c r="AE342" t="s">
        <v>902</v>
      </c>
      <c r="AG342">
        <v>428.61</v>
      </c>
      <c r="AH342">
        <v>10.3</v>
      </c>
      <c r="AI342">
        <v>4.29</v>
      </c>
      <c r="AJ342">
        <v>443.2</v>
      </c>
      <c r="AK342">
        <v>0</v>
      </c>
      <c r="AL342">
        <v>70.91</v>
      </c>
      <c r="AM342">
        <v>8.86</v>
      </c>
      <c r="AN342">
        <v>7.82</v>
      </c>
      <c r="AO342">
        <v>8.25</v>
      </c>
      <c r="AP342">
        <v>1</v>
      </c>
      <c r="AQ342" t="s">
        <v>82</v>
      </c>
      <c r="AR342">
        <v>443.2</v>
      </c>
      <c r="AS342">
        <v>1</v>
      </c>
      <c r="AT342" t="s">
        <v>107</v>
      </c>
      <c r="AU342" t="s">
        <v>84</v>
      </c>
      <c r="AV342">
        <v>0</v>
      </c>
      <c r="AW342" t="s">
        <v>85</v>
      </c>
      <c r="AX342" t="s">
        <v>901</v>
      </c>
      <c r="AY342" t="s">
        <v>108</v>
      </c>
      <c r="BA342" t="s">
        <v>170</v>
      </c>
      <c r="BB342" t="s">
        <v>90</v>
      </c>
      <c r="BC342">
        <v>23474</v>
      </c>
      <c r="BD342">
        <v>20250914</v>
      </c>
      <c r="BE342">
        <v>428.61</v>
      </c>
      <c r="BG342" t="s">
        <v>900</v>
      </c>
      <c r="BH342">
        <v>20250911</v>
      </c>
      <c r="BL342" t="s">
        <v>886</v>
      </c>
    </row>
    <row r="343" spans="1:64" x14ac:dyDescent="0.2">
      <c r="A343">
        <v>10</v>
      </c>
      <c r="B343">
        <v>10</v>
      </c>
      <c r="C343">
        <v>2025</v>
      </c>
      <c r="D343">
        <v>165354</v>
      </c>
      <c r="E343">
        <v>1</v>
      </c>
      <c r="F343" t="s">
        <v>65</v>
      </c>
      <c r="H343">
        <v>20550731399</v>
      </c>
      <c r="I343" t="s">
        <v>67</v>
      </c>
      <c r="P343" t="s">
        <v>72</v>
      </c>
      <c r="Q343" t="s">
        <v>73</v>
      </c>
      <c r="R343" t="s">
        <v>74</v>
      </c>
      <c r="S343" t="s">
        <v>74</v>
      </c>
      <c r="T343" t="s">
        <v>163</v>
      </c>
      <c r="U343">
        <v>8412290000</v>
      </c>
      <c r="V343" t="s">
        <v>164</v>
      </c>
      <c r="W343" t="s">
        <v>899</v>
      </c>
      <c r="X343" t="s">
        <v>896</v>
      </c>
      <c r="Y343" t="s">
        <v>898</v>
      </c>
      <c r="Z343" t="s">
        <v>897</v>
      </c>
      <c r="AA343" t="s">
        <v>147</v>
      </c>
      <c r="AB343" t="s">
        <v>897</v>
      </c>
      <c r="AC343" t="s">
        <v>892</v>
      </c>
      <c r="AD343" t="s">
        <v>896</v>
      </c>
      <c r="AE343" t="s">
        <v>147</v>
      </c>
      <c r="AF343">
        <v>0</v>
      </c>
      <c r="AG343">
        <v>1693.14</v>
      </c>
      <c r="AH343">
        <v>69.319999999999993</v>
      </c>
      <c r="AI343">
        <v>16.93</v>
      </c>
      <c r="AJ343">
        <v>1779.39</v>
      </c>
      <c r="AK343">
        <v>0</v>
      </c>
      <c r="AL343">
        <v>284.7</v>
      </c>
      <c r="AM343">
        <v>35.590000000000003</v>
      </c>
      <c r="AN343">
        <v>6.31</v>
      </c>
      <c r="AO343">
        <v>7.51</v>
      </c>
      <c r="AP343">
        <v>1</v>
      </c>
      <c r="AQ343" t="s">
        <v>82</v>
      </c>
      <c r="AS343">
        <v>1</v>
      </c>
      <c r="AT343" t="s">
        <v>107</v>
      </c>
      <c r="AU343" t="s">
        <v>84</v>
      </c>
      <c r="AV343">
        <v>1</v>
      </c>
      <c r="AW343" t="s">
        <v>85</v>
      </c>
      <c r="AX343" t="s">
        <v>890</v>
      </c>
      <c r="AY343" t="s">
        <v>87</v>
      </c>
      <c r="AZ343" t="s">
        <v>889</v>
      </c>
      <c r="BA343" t="s">
        <v>888</v>
      </c>
      <c r="BB343" t="s">
        <v>90</v>
      </c>
      <c r="BC343" t="s">
        <v>887</v>
      </c>
      <c r="BD343">
        <v>20251009</v>
      </c>
      <c r="BE343">
        <v>1693.14</v>
      </c>
      <c r="BG343">
        <v>1196581105</v>
      </c>
      <c r="BH343">
        <v>20251006</v>
      </c>
      <c r="BK343" t="s">
        <v>91</v>
      </c>
      <c r="BL343" t="s">
        <v>886</v>
      </c>
    </row>
    <row r="344" spans="1:64" x14ac:dyDescent="0.2">
      <c r="A344">
        <v>10</v>
      </c>
      <c r="B344">
        <v>10</v>
      </c>
      <c r="C344">
        <v>2025</v>
      </c>
      <c r="D344">
        <v>165354</v>
      </c>
      <c r="E344">
        <v>2</v>
      </c>
      <c r="F344" t="s">
        <v>65</v>
      </c>
      <c r="H344">
        <v>20550731399</v>
      </c>
      <c r="I344" t="s">
        <v>67</v>
      </c>
      <c r="P344" t="s">
        <v>72</v>
      </c>
      <c r="Q344" t="s">
        <v>73</v>
      </c>
      <c r="R344" t="s">
        <v>74</v>
      </c>
      <c r="S344" t="s">
        <v>74</v>
      </c>
      <c r="T344" t="s">
        <v>163</v>
      </c>
      <c r="U344">
        <v>8412900000</v>
      </c>
      <c r="V344" t="s">
        <v>129</v>
      </c>
      <c r="W344" t="s">
        <v>895</v>
      </c>
      <c r="X344" t="s">
        <v>891</v>
      </c>
      <c r="Y344" t="s">
        <v>894</v>
      </c>
      <c r="Z344" t="s">
        <v>893</v>
      </c>
      <c r="AA344" t="s">
        <v>147</v>
      </c>
      <c r="AB344" t="s">
        <v>893</v>
      </c>
      <c r="AC344" t="s">
        <v>892</v>
      </c>
      <c r="AD344" t="s">
        <v>891</v>
      </c>
      <c r="AE344" t="s">
        <v>147</v>
      </c>
      <c r="AF344">
        <v>0</v>
      </c>
      <c r="AG344">
        <v>1258.3</v>
      </c>
      <c r="AH344">
        <v>51.52</v>
      </c>
      <c r="AI344">
        <v>12.58</v>
      </c>
      <c r="AJ344">
        <v>1322.4</v>
      </c>
      <c r="AK344">
        <v>0</v>
      </c>
      <c r="AL344">
        <v>211.59</v>
      </c>
      <c r="AM344">
        <v>26.45</v>
      </c>
      <c r="AN344">
        <v>4.6900000000000004</v>
      </c>
      <c r="AO344">
        <v>5.58</v>
      </c>
      <c r="AP344">
        <v>2</v>
      </c>
      <c r="AQ344" t="s">
        <v>82</v>
      </c>
      <c r="AS344">
        <v>2</v>
      </c>
      <c r="AT344" t="s">
        <v>107</v>
      </c>
      <c r="AU344" t="s">
        <v>84</v>
      </c>
      <c r="AV344">
        <v>0</v>
      </c>
      <c r="AW344" t="s">
        <v>85</v>
      </c>
      <c r="AX344" t="s">
        <v>890</v>
      </c>
      <c r="AY344" t="s">
        <v>87</v>
      </c>
      <c r="AZ344" t="s">
        <v>889</v>
      </c>
      <c r="BA344" t="s">
        <v>888</v>
      </c>
      <c r="BB344" t="s">
        <v>90</v>
      </c>
      <c r="BC344" t="s">
        <v>887</v>
      </c>
      <c r="BD344">
        <v>20251009</v>
      </c>
      <c r="BE344">
        <v>629.15</v>
      </c>
      <c r="BG344">
        <v>1196581105</v>
      </c>
      <c r="BH344">
        <v>20251006</v>
      </c>
      <c r="BK344" t="s">
        <v>91</v>
      </c>
      <c r="BL344" t="s">
        <v>886</v>
      </c>
    </row>
    <row r="345" spans="1:64" x14ac:dyDescent="0.2">
      <c r="A345">
        <v>23</v>
      </c>
      <c r="B345">
        <v>10</v>
      </c>
      <c r="C345">
        <v>2025</v>
      </c>
      <c r="D345">
        <v>460443</v>
      </c>
      <c r="E345">
        <v>1</v>
      </c>
      <c r="F345" t="s">
        <v>279</v>
      </c>
      <c r="G345" t="s">
        <v>66</v>
      </c>
      <c r="H345">
        <v>20550731399</v>
      </c>
      <c r="I345" t="s">
        <v>67</v>
      </c>
      <c r="J345" t="s">
        <v>68</v>
      </c>
      <c r="K345" t="s">
        <v>69</v>
      </c>
      <c r="L345" t="s">
        <v>69</v>
      </c>
      <c r="M345" t="s">
        <v>70</v>
      </c>
      <c r="N345" t="s">
        <v>71</v>
      </c>
      <c r="O345" t="s">
        <v>71</v>
      </c>
      <c r="P345" t="s">
        <v>280</v>
      </c>
      <c r="R345" t="s">
        <v>281</v>
      </c>
      <c r="S345" t="s">
        <v>281</v>
      </c>
      <c r="T345" t="s">
        <v>282</v>
      </c>
      <c r="U345">
        <v>8412290000</v>
      </c>
      <c r="V345" t="s">
        <v>164</v>
      </c>
      <c r="W345" t="s">
        <v>885</v>
      </c>
      <c r="X345" t="s">
        <v>289</v>
      </c>
      <c r="Z345" t="s">
        <v>883</v>
      </c>
      <c r="AB345" t="s">
        <v>221</v>
      </c>
      <c r="AC345" t="s">
        <v>288</v>
      </c>
      <c r="AD345" t="s">
        <v>884</v>
      </c>
      <c r="AE345" t="s">
        <v>883</v>
      </c>
      <c r="AG345">
        <v>3311.96</v>
      </c>
      <c r="AH345">
        <v>10.19</v>
      </c>
      <c r="AI345">
        <v>33.119999999999997</v>
      </c>
      <c r="AJ345">
        <v>3355.27</v>
      </c>
      <c r="AK345">
        <v>0</v>
      </c>
      <c r="AL345">
        <v>536.84</v>
      </c>
      <c r="AM345">
        <v>67.11</v>
      </c>
      <c r="AN345">
        <v>58.53</v>
      </c>
      <c r="AO345">
        <v>61.61</v>
      </c>
      <c r="AP345">
        <v>4</v>
      </c>
      <c r="AQ345" t="s">
        <v>82</v>
      </c>
      <c r="AR345">
        <v>838.81700000000001</v>
      </c>
      <c r="AS345">
        <v>4</v>
      </c>
      <c r="AT345" t="s">
        <v>107</v>
      </c>
      <c r="AU345" t="s">
        <v>84</v>
      </c>
      <c r="AV345">
        <v>4</v>
      </c>
      <c r="AW345" t="s">
        <v>85</v>
      </c>
      <c r="AY345" t="s">
        <v>108</v>
      </c>
      <c r="BA345">
        <v>3033</v>
      </c>
      <c r="BC345">
        <v>2571</v>
      </c>
      <c r="BD345">
        <v>0</v>
      </c>
      <c r="BE345">
        <v>827.99</v>
      </c>
    </row>
    <row r="346" spans="1:64" x14ac:dyDescent="0.2">
      <c r="A346">
        <v>23</v>
      </c>
      <c r="B346">
        <v>10</v>
      </c>
      <c r="C346">
        <v>2025</v>
      </c>
      <c r="D346">
        <v>460443</v>
      </c>
      <c r="E346">
        <v>2</v>
      </c>
      <c r="F346" t="s">
        <v>279</v>
      </c>
      <c r="G346" t="s">
        <v>66</v>
      </c>
      <c r="H346">
        <v>20550731399</v>
      </c>
      <c r="I346" t="s">
        <v>67</v>
      </c>
      <c r="J346" t="s">
        <v>68</v>
      </c>
      <c r="K346" t="s">
        <v>69</v>
      </c>
      <c r="L346" t="s">
        <v>69</v>
      </c>
      <c r="M346" t="s">
        <v>70</v>
      </c>
      <c r="N346" t="s">
        <v>71</v>
      </c>
      <c r="O346" t="s">
        <v>71</v>
      </c>
      <c r="P346" t="s">
        <v>280</v>
      </c>
      <c r="R346" t="s">
        <v>281</v>
      </c>
      <c r="S346" t="s">
        <v>281</v>
      </c>
      <c r="T346" t="s">
        <v>282</v>
      </c>
      <c r="U346">
        <v>8413919000</v>
      </c>
      <c r="V346" t="s">
        <v>229</v>
      </c>
      <c r="W346" t="s">
        <v>882</v>
      </c>
      <c r="X346" t="s">
        <v>308</v>
      </c>
      <c r="Z346" t="s">
        <v>880</v>
      </c>
      <c r="AB346" t="s">
        <v>881</v>
      </c>
      <c r="AC346" t="s">
        <v>288</v>
      </c>
      <c r="AD346" t="s">
        <v>308</v>
      </c>
      <c r="AE346" t="s">
        <v>880</v>
      </c>
      <c r="AG346">
        <v>7767.56</v>
      </c>
      <c r="AH346">
        <v>23.9</v>
      </c>
      <c r="AI346">
        <v>77.680000000000007</v>
      </c>
      <c r="AJ346">
        <v>7869.13</v>
      </c>
      <c r="AK346">
        <v>0</v>
      </c>
      <c r="AL346">
        <v>1259.06</v>
      </c>
      <c r="AM346">
        <v>157.38</v>
      </c>
      <c r="AN346">
        <v>137.27000000000001</v>
      </c>
      <c r="AO346">
        <v>144.5</v>
      </c>
      <c r="AP346">
        <v>14</v>
      </c>
      <c r="AQ346" t="s">
        <v>82</v>
      </c>
      <c r="AR346">
        <v>562.08100000000002</v>
      </c>
      <c r="AS346">
        <v>14</v>
      </c>
      <c r="AT346" t="s">
        <v>107</v>
      </c>
      <c r="AU346" t="s">
        <v>84</v>
      </c>
      <c r="AV346">
        <v>0</v>
      </c>
      <c r="AW346" t="s">
        <v>85</v>
      </c>
      <c r="AY346" t="s">
        <v>108</v>
      </c>
      <c r="BA346">
        <v>3033</v>
      </c>
      <c r="BC346">
        <v>2571</v>
      </c>
      <c r="BD346">
        <v>0</v>
      </c>
      <c r="BE346">
        <v>554.82600000000002</v>
      </c>
    </row>
    <row r="347" spans="1:64" x14ac:dyDescent="0.2">
      <c r="A347">
        <v>23</v>
      </c>
      <c r="B347">
        <v>10</v>
      </c>
      <c r="C347">
        <v>2025</v>
      </c>
      <c r="D347">
        <v>460443</v>
      </c>
      <c r="E347">
        <v>3</v>
      </c>
      <c r="F347" t="s">
        <v>279</v>
      </c>
      <c r="G347" t="s">
        <v>66</v>
      </c>
      <c r="H347">
        <v>20550731399</v>
      </c>
      <c r="I347" t="s">
        <v>67</v>
      </c>
      <c r="J347" t="s">
        <v>68</v>
      </c>
      <c r="K347" t="s">
        <v>69</v>
      </c>
      <c r="L347" t="s">
        <v>69</v>
      </c>
      <c r="M347" t="s">
        <v>70</v>
      </c>
      <c r="N347" t="s">
        <v>71</v>
      </c>
      <c r="O347" t="s">
        <v>71</v>
      </c>
      <c r="P347" t="s">
        <v>280</v>
      </c>
      <c r="R347" t="s">
        <v>281</v>
      </c>
      <c r="S347" t="s">
        <v>281</v>
      </c>
      <c r="T347" t="s">
        <v>282</v>
      </c>
      <c r="U347">
        <v>8413190000</v>
      </c>
      <c r="V347" t="s">
        <v>100</v>
      </c>
      <c r="W347" t="s">
        <v>879</v>
      </c>
      <c r="X347" t="s">
        <v>878</v>
      </c>
      <c r="Y347" t="s">
        <v>192</v>
      </c>
      <c r="Z347" t="s">
        <v>875</v>
      </c>
      <c r="AB347" t="s">
        <v>877</v>
      </c>
      <c r="AC347" t="s">
        <v>288</v>
      </c>
      <c r="AD347" t="s">
        <v>876</v>
      </c>
      <c r="AE347" t="s">
        <v>875</v>
      </c>
      <c r="AG347">
        <v>1889.99</v>
      </c>
      <c r="AH347">
        <v>5.81</v>
      </c>
      <c r="AI347">
        <v>18.899999999999999</v>
      </c>
      <c r="AJ347">
        <v>1914.7</v>
      </c>
      <c r="AK347">
        <v>0</v>
      </c>
      <c r="AL347">
        <v>306.35000000000002</v>
      </c>
      <c r="AM347">
        <v>38.29</v>
      </c>
      <c r="AN347">
        <v>33.4</v>
      </c>
      <c r="AO347">
        <v>35.159999999999997</v>
      </c>
      <c r="AP347">
        <v>1</v>
      </c>
      <c r="AQ347" t="s">
        <v>82</v>
      </c>
      <c r="AR347">
        <v>1914.703</v>
      </c>
      <c r="AS347">
        <v>1</v>
      </c>
      <c r="AT347" t="s">
        <v>107</v>
      </c>
      <c r="AU347" t="s">
        <v>84</v>
      </c>
      <c r="AV347">
        <v>0</v>
      </c>
      <c r="AW347" t="s">
        <v>85</v>
      </c>
      <c r="AY347" t="s">
        <v>108</v>
      </c>
      <c r="BA347">
        <v>3033</v>
      </c>
      <c r="BC347">
        <v>2571</v>
      </c>
      <c r="BD347">
        <v>0</v>
      </c>
      <c r="BE347">
        <v>1889.99</v>
      </c>
    </row>
    <row r="348" spans="1:64" x14ac:dyDescent="0.2">
      <c r="A348">
        <v>23</v>
      </c>
      <c r="B348">
        <v>10</v>
      </c>
      <c r="C348">
        <v>2025</v>
      </c>
      <c r="D348">
        <v>460443</v>
      </c>
      <c r="E348">
        <v>4</v>
      </c>
      <c r="F348" t="s">
        <v>279</v>
      </c>
      <c r="G348" t="s">
        <v>66</v>
      </c>
      <c r="H348">
        <v>20550731399</v>
      </c>
      <c r="I348" t="s">
        <v>67</v>
      </c>
      <c r="J348" t="s">
        <v>68</v>
      </c>
      <c r="K348" t="s">
        <v>69</v>
      </c>
      <c r="L348" t="s">
        <v>69</v>
      </c>
      <c r="M348" t="s">
        <v>70</v>
      </c>
      <c r="N348" t="s">
        <v>71</v>
      </c>
      <c r="O348" t="s">
        <v>71</v>
      </c>
      <c r="P348" t="s">
        <v>280</v>
      </c>
      <c r="R348" t="s">
        <v>281</v>
      </c>
      <c r="S348" t="s">
        <v>281</v>
      </c>
      <c r="T348" t="s">
        <v>282</v>
      </c>
      <c r="U348">
        <v>8412900000</v>
      </c>
      <c r="V348" t="s">
        <v>129</v>
      </c>
      <c r="W348" t="s">
        <v>874</v>
      </c>
      <c r="X348" t="s">
        <v>873</v>
      </c>
      <c r="Z348" t="s">
        <v>872</v>
      </c>
      <c r="AB348" t="s">
        <v>194</v>
      </c>
      <c r="AC348" t="s">
        <v>288</v>
      </c>
      <c r="AD348" t="s">
        <v>873</v>
      </c>
      <c r="AE348" t="s">
        <v>872</v>
      </c>
      <c r="AG348">
        <v>2663.35</v>
      </c>
      <c r="AH348">
        <v>8.19</v>
      </c>
      <c r="AI348">
        <v>26.63</v>
      </c>
      <c r="AJ348">
        <v>2698.17</v>
      </c>
      <c r="AK348">
        <v>0</v>
      </c>
      <c r="AL348">
        <v>431.71</v>
      </c>
      <c r="AM348">
        <v>53.96</v>
      </c>
      <c r="AN348">
        <v>47.07</v>
      </c>
      <c r="AO348">
        <v>49.55</v>
      </c>
      <c r="AP348">
        <v>15</v>
      </c>
      <c r="AQ348" t="s">
        <v>82</v>
      </c>
      <c r="AR348">
        <v>179.87799999999999</v>
      </c>
      <c r="AS348">
        <v>15</v>
      </c>
      <c r="AT348" t="s">
        <v>107</v>
      </c>
      <c r="AU348" t="s">
        <v>84</v>
      </c>
      <c r="AV348">
        <v>0</v>
      </c>
      <c r="AW348" t="s">
        <v>85</v>
      </c>
      <c r="AY348" t="s">
        <v>108</v>
      </c>
      <c r="BA348">
        <v>3033</v>
      </c>
      <c r="BC348">
        <v>2571</v>
      </c>
      <c r="BD348">
        <v>0</v>
      </c>
      <c r="BE348">
        <v>177.55699999999999</v>
      </c>
    </row>
    <row r="349" spans="1:64" x14ac:dyDescent="0.2">
      <c r="A349">
        <v>23</v>
      </c>
      <c r="B349">
        <v>10</v>
      </c>
      <c r="C349">
        <v>2025</v>
      </c>
      <c r="D349">
        <v>460443</v>
      </c>
      <c r="E349">
        <v>5</v>
      </c>
      <c r="F349" t="s">
        <v>279</v>
      </c>
      <c r="G349" t="s">
        <v>66</v>
      </c>
      <c r="H349">
        <v>20550731399</v>
      </c>
      <c r="I349" t="s">
        <v>67</v>
      </c>
      <c r="J349" t="s">
        <v>68</v>
      </c>
      <c r="K349" t="s">
        <v>69</v>
      </c>
      <c r="L349" t="s">
        <v>69</v>
      </c>
      <c r="M349" t="s">
        <v>70</v>
      </c>
      <c r="N349" t="s">
        <v>71</v>
      </c>
      <c r="O349" t="s">
        <v>71</v>
      </c>
      <c r="P349" t="s">
        <v>280</v>
      </c>
      <c r="R349" t="s">
        <v>281</v>
      </c>
      <c r="S349" t="s">
        <v>281</v>
      </c>
      <c r="T349" t="s">
        <v>282</v>
      </c>
      <c r="U349">
        <v>8412290000</v>
      </c>
      <c r="V349" t="s">
        <v>164</v>
      </c>
      <c r="W349" t="s">
        <v>871</v>
      </c>
      <c r="X349" t="s">
        <v>304</v>
      </c>
      <c r="Y349" t="s">
        <v>870</v>
      </c>
      <c r="Z349" t="s">
        <v>869</v>
      </c>
      <c r="AB349" t="s">
        <v>79</v>
      </c>
      <c r="AC349" t="s">
        <v>288</v>
      </c>
      <c r="AD349" t="s">
        <v>833</v>
      </c>
      <c r="AE349" t="s">
        <v>869</v>
      </c>
      <c r="AG349">
        <v>2312.79</v>
      </c>
      <c r="AH349">
        <v>7.12</v>
      </c>
      <c r="AI349">
        <v>23.13</v>
      </c>
      <c r="AJ349">
        <v>2343.0300000000002</v>
      </c>
      <c r="AK349">
        <v>0</v>
      </c>
      <c r="AL349">
        <v>374.88</v>
      </c>
      <c r="AM349">
        <v>46.86</v>
      </c>
      <c r="AN349">
        <v>40.869999999999997</v>
      </c>
      <c r="AO349">
        <v>43.02</v>
      </c>
      <c r="AP349">
        <v>30</v>
      </c>
      <c r="AQ349" t="s">
        <v>82</v>
      </c>
      <c r="AR349">
        <v>78.100999999999999</v>
      </c>
      <c r="AS349">
        <v>30</v>
      </c>
      <c r="AT349" t="s">
        <v>107</v>
      </c>
      <c r="AU349" t="s">
        <v>84</v>
      </c>
      <c r="AV349">
        <v>0</v>
      </c>
      <c r="AW349" t="s">
        <v>85</v>
      </c>
      <c r="AY349" t="s">
        <v>108</v>
      </c>
      <c r="BA349">
        <v>3033</v>
      </c>
      <c r="BC349">
        <v>2571</v>
      </c>
      <c r="BD349">
        <v>0</v>
      </c>
      <c r="BE349">
        <v>77.093000000000004</v>
      </c>
    </row>
    <row r="350" spans="1:64" x14ac:dyDescent="0.2">
      <c r="A350">
        <v>23</v>
      </c>
      <c r="B350">
        <v>10</v>
      </c>
      <c r="C350">
        <v>2025</v>
      </c>
      <c r="D350">
        <v>460443</v>
      </c>
      <c r="E350">
        <v>6</v>
      </c>
      <c r="F350" t="s">
        <v>279</v>
      </c>
      <c r="G350" t="s">
        <v>66</v>
      </c>
      <c r="H350">
        <v>20550731399</v>
      </c>
      <c r="I350" t="s">
        <v>67</v>
      </c>
      <c r="J350" t="s">
        <v>68</v>
      </c>
      <c r="K350" t="s">
        <v>69</v>
      </c>
      <c r="L350" t="s">
        <v>69</v>
      </c>
      <c r="M350" t="s">
        <v>70</v>
      </c>
      <c r="N350" t="s">
        <v>71</v>
      </c>
      <c r="O350" t="s">
        <v>71</v>
      </c>
      <c r="P350" t="s">
        <v>280</v>
      </c>
      <c r="R350" t="s">
        <v>281</v>
      </c>
      <c r="S350" t="s">
        <v>281</v>
      </c>
      <c r="T350" t="s">
        <v>282</v>
      </c>
      <c r="U350">
        <v>8413919000</v>
      </c>
      <c r="V350" t="s">
        <v>229</v>
      </c>
      <c r="W350" t="s">
        <v>868</v>
      </c>
      <c r="X350" t="s">
        <v>867</v>
      </c>
      <c r="Z350" t="s">
        <v>866</v>
      </c>
      <c r="AB350" t="s">
        <v>652</v>
      </c>
      <c r="AC350" t="s">
        <v>288</v>
      </c>
      <c r="AD350" t="s">
        <v>867</v>
      </c>
      <c r="AE350" t="s">
        <v>866</v>
      </c>
      <c r="AG350">
        <v>9684.56</v>
      </c>
      <c r="AH350">
        <v>29.79</v>
      </c>
      <c r="AI350">
        <v>96.85</v>
      </c>
      <c r="AJ350">
        <v>9811.2000000000007</v>
      </c>
      <c r="AK350">
        <v>0</v>
      </c>
      <c r="AL350">
        <v>1569.79</v>
      </c>
      <c r="AM350">
        <v>196.22</v>
      </c>
      <c r="AN350">
        <v>171.15</v>
      </c>
      <c r="AO350">
        <v>180.16</v>
      </c>
      <c r="AP350">
        <v>12</v>
      </c>
      <c r="AQ350" t="s">
        <v>82</v>
      </c>
      <c r="AR350">
        <v>817.6</v>
      </c>
      <c r="AS350">
        <v>12</v>
      </c>
      <c r="AT350" t="s">
        <v>107</v>
      </c>
      <c r="AU350" t="s">
        <v>84</v>
      </c>
      <c r="AV350">
        <v>0</v>
      </c>
      <c r="AW350" t="s">
        <v>85</v>
      </c>
      <c r="AY350" t="s">
        <v>108</v>
      </c>
      <c r="BA350">
        <v>3033</v>
      </c>
      <c r="BC350">
        <v>2571</v>
      </c>
      <c r="BD350">
        <v>0</v>
      </c>
      <c r="BE350">
        <v>807.04700000000003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Sheyla Milenka Flores Quispe</dc:creator>
  <dc:description/>
  <cp:lastModifiedBy>Sheyla Milenka Flores Quispe</cp:lastModifiedBy>
  <cp:revision>0</cp:revision>
  <dcterms:created xsi:type="dcterms:W3CDTF">2025-10-29T11:26:04Z</dcterms:created>
  <dcterms:modified xsi:type="dcterms:W3CDTF">2025-10-29T15:02:30Z</dcterms:modified>
</cp:coreProperties>
</file>